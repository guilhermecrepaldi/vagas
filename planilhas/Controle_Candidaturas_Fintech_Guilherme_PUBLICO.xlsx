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e543c2c257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02707cd6597f4c15"/>
    <x:sheet xmlns:r="http://schemas.openxmlformats.org/officeDocument/2006/relationships" name="Log de auditoria" sheetId="2" r:id="Rcf8db25bccd448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3e18b53bce43d9" /><Relationship Type="http://schemas.openxmlformats.org/officeDocument/2006/relationships/theme" Target="/xl/theme/theme1.xml" Id="Re4e1d72627c544b7" /><Relationship Type="http://schemas.openxmlformats.org/officeDocument/2006/relationships/sharedStrings" Target="/xl/sharedStrings.xml" Id="R3fddf6740d14410f" /><Relationship Type="http://schemas.openxmlformats.org/officeDocument/2006/relationships/worksheet" Target="/xl/worksheets/sheet1.xml" Id="R02707cd6597f4c15" /><Relationship Type="http://schemas.openxmlformats.org/officeDocument/2006/relationships/worksheet" Target="/xl/worksheets/sheet2.xml" Id="Rcf8db25bccd4489f" /></Relationships>
</file>

<file path=xl/tables/table1.xml><?xml version="1.0" encoding="utf-8"?>
<x:table xmlns:x="http://schemas.openxmlformats.org/spreadsheetml/2006/main" id="1" name="CandidaturasTable" displayName="CandidaturasTable" ref="A9:K196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9b7dfea1e449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5836b5406a942f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SUM(L10:L196)</x:f>
        <x:v>93</x:v>
      </x:c>
      <x:c r="C7" s="8"/>
      <x:c r="D7" s="8" t="str">
        <x:v>Itens em controle</x:v>
      </x:c>
      <x:c r="E7" s="9" t="n">
        <x:f>COUNTA(A10:A196)</x:f>
        <x:v>187</x:v>
      </x:c>
      <x:c r="F7" s="8"/>
      <x:c r="G7" s="8" t="str">
        <x:v>Pendentes</x:v>
      </x:c>
      <x:c r="H7" s="9" t="n">
        <x:f>SUM(M10:M196)</x:f>
        <x:v>83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Enviada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Acompanhar e-mail e portal; se houver teste, o candidato deve realizá-lo pessoalmente.</x:v>
      </x:c>
      <x:c r="I57" s="19" t="str">
        <x:v>02/10/2026</x:v>
      </x:c>
      <x:c r="J57" s="18" t="str">
        <x:v>Candidatura finalizada na Gupy em 02/10 com currículo atualizado e apresentação personalizada. Foram destacadas experiência profissional full stack na Performance Lab, .NET/C#, React/TypeScript, PostgreSQL, APIs, integrações e testes; Node.js/NestJS ficou limitado a projetos práticos, sem inflar experiência profissional.</x:v>
      </x:c>
      <x:c r="K57" s="24" t="str">
        <x:v>Sim — finalizada na Gupy 02/10</x:v>
      </x:c>
      <x:c r="L57" t="n">
        <x:f>IF(LEFT(K57,3)="Sim",1,0)+IF(LEFT(K57,6)="Portal",1,0)</x:f>
        <x:v>1</x:v>
      </x:c>
      <x:c r="M57" t="n">
        <x:f>IF(LEFT(A57,8)="Pendente",1,0)</x:f>
        <x:v>0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66" hidden="0" customHeight="1">
      <x:c r="A176" s="63" t="str">
        <x:v>Enviada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Nenhuma avaliação declarada no momento; acompanhar portal e e-mail</x:v>
      </x:c>
      <x:c r="H176" s="63" t="str">
        <x:v>Acompanhar portal e e-mail. Preparar exemplos de React, APIs REST, PostgreSQL/MySQL, Git, testes, integração de sistemas e documentação; Kotlin segue como ponto de estudo.</x:v>
      </x:c>
      <x:c r="I176" s="63" t="str">
        <x:v>02/10/2026</x:v>
      </x:c>
      <x:c r="J176" s="63" t="str">
        <x:v>O portal Pandapé confirmou que o e-mail cadastrado já foi utilizado nesta vaga e que o candidato já participa do processo seletivo. A descrição exige React, Kotlin, Node.js, APIs REST, PostgreSQL/MySQL, Git e testes; Kotlin é o principal ponto de desenvolvimento atual.</x:v>
      </x:c>
      <x:c r="K176" s="63" t="str">
        <x:v>Portal — participação já existente confirmada em 02/10</x:v>
      </x:c>
      <x:c r="L176" t="n">
        <x:f>IF(LEFT(K176,3)="Sim",1,0)+IF(LEFT(K176,6)="Portal",1,0)</x:f>
        <x:v>1</x:v>
      </x:c>
      <x:c r="M176" t="n">
        <x:f>IF(LEFT(A176,8)="Pendente",1,0)</x:f>
        <x:v>0</x:v>
      </x:c>
    </x:row>
    <x:row r="177" ht="66" hidden="0" customHeight="1">
      <x:c r="A177" s="63" t="str">
        <x:v>Pendente — formulário e upload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Nenhuma avaliação acessada; formulário não enviado</x:v>
      </x:c>
      <x:c r="H177" s="63" t="str">
        <x:v>Anexar o currículo mestre atualizado e preencher o CEP real antes do envio. Depois, personalizar com Java, APIs, SQL, Docker, integração de sistemas, testes e aprendizagem contínua.</x:v>
      </x:c>
      <x:c r="I177" s="63" t="str">
        <x:v>02/10/2026</x:v>
      </x:c>
      <x:c r="J177" s="63" t="str">
        <x:v>Anúncio oficial revalidado como ativo e muito compatível com início de carreira: conhecimento em Java é obrigatório e um ano profissional é apenas desejável. O formulário exige dados cadastrais, CEP e upload local obrigatório do currículo; não foi enviado sem esses itens.</x:v>
      </x:c>
      <x:c r="K177" s="63" t="str">
        <x:v>Não — upload de currículo e CEP obrigatórios pendentes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 ht="66" hidden="0" customHeight="1">
      <x:c r="A180" s="63" t="str">
        <x:v>Enviada</x:v>
      </x:c>
      <x:c r="B180" s="63" t="str">
        <x:v>B2Finance / H&amp;CO</x:v>
      </x:c>
      <x:c r="C180" s="63" t="str">
        <x:v>Full Stack Júnior</x:v>
      </x:c>
      <x:c r="D180" s="63" t="str">
        <x:v>Desenvolvimento full stack</x:v>
      </x:c>
      <x:c r="E180" s="63" t="str">
        <x:v>Remoto; PJ; remuneração não divulgada</x:v>
      </x:c>
      <x:c r="F180" s="63" t="str">
        <x:v>https://b2financebpo.pandape.infojobs.com.br/Detail/3742624</x:v>
      </x:c>
      <x:c r="G180" s="63" t="str">
        <x:v>Não informado</x:v>
      </x:c>
      <x:c r="H180" s="63" t="str">
        <x:v>Acompanhar e-mail e portal; manter currículo com Performance Lab e projetos de integração atualizado.</x:v>
      </x:c>
      <x:c r="I180" s="63" t="str">
        <x:v>02/10/2026</x:v>
      </x:c>
      <x:c r="J180" s="63" t="str">
        <x:v>O portal reconheceu o e-mail como participante da seleção em 02/10. Registro incluído para evitar candidatura duplicada. A vaga aceita projetos práticos e tem aderência a React/Next, Node/Python, PostgreSQL, APIs, Git, Docker e IA.</x:v>
      </x:c>
      <x:c r="K180" s="63" t="str">
        <x:v>Portal — participação já existente 02/10</x:v>
      </x:c>
      <x:c r="L180" t="n">
        <x:f>IF(LEFT(K180,3)="Sim",1,0)+IF(LEFT(K180,6)="Portal",1,0)</x:f>
        <x:v>1</x:v>
      </x:c>
      <x:c r="M180" t="n">
        <x:f>IF(LEFT(A180,8)="Pendente",1,0)</x:f>
        <x:v>0</x:v>
      </x:c>
    </x:row>
    <x:row r="181" ht="52.79999923706055" hidden="0" customHeight="1">
      <x:c r="A181" s="63" t="str">
        <x:v>Pendente — upload de currículo</x:v>
      </x:c>
      <x:c r="B181" s="63" t="str">
        <x:v>Serasa Experian</x:v>
      </x:c>
      <x:c r="C181" s="63" t="str">
        <x:v>Analista de Desenvolvimento de Software I — Backend Java</x:v>
      </x:c>
      <x:c r="D181" s="63" t="str">
        <x:v>Desenvolvimento backend</x:v>
      </x:c>
      <x:c r="E181" s="63" t="str">
        <x:v>Home office; remuneração não divulgada</x:v>
      </x:c>
      <x:c r="F181" s="63" t="str">
        <x:v>https://jobs.smartrecruiters.com/Experian/744000149686309-analista-de-desenvolvimento-de-software-ii</x:v>
      </x:c>
      <x:c r="G181" s="63" t="str">
        <x:v>Não informado</x:v>
      </x:c>
      <x:c r="H181" s="63" t="str">
        <x:v>Anexar o currículo mestre atualizado no formulário SmartRecruiters e revisar a mensagem personalizada antes do envio.</x:v>
      </x:c>
      <x:c r="I181" s="63" t="str">
        <x:v>02/10/2026</x:v>
      </x:c>
      <x:c r="J181" s="63" t="str">
        <x:v>Vaga júnior compatível com Java, REST, SQL, Git, testes, Docker, CI/CD, cloud e agentes de IA. Formulário aberto, mas o portal exige upload local do PDF antes do envio; candidatura ainda não foi enviada.</x:v>
      </x:c>
      <x:c r="K181" s="63" t="str">
        <x:v>Não — upload obrigatório pendente</x:v>
      </x:c>
      <x:c r="L181" t="n">
        <x:f>IF(LEFT(K181,3)="Sim",1,0)+IF(LEFT(K181,6)="Portal",1,0)</x:f>
        <x:v>0</x:v>
      </x:c>
      <x:c r="M181" t="n">
        <x:f>IF(LEFT(A181,8)="Pendente",1,0)</x:f>
        <x:v>1</x:v>
      </x:c>
    </x:row>
    <x:row r="182" ht="66" hidden="0" customHeight="1">
      <x:c r="A182" s="63" t="str">
        <x:v>Enviada</x:v>
      </x:c>
      <x:c r="B182" s="63" t="str">
        <x:v>SoftExpert</x:v>
      </x:c>
      <x:c r="C182" s="63" t="str">
        <x:v>Desenvolvedor(a) Full Stack Júnior (PHP/React)</x:v>
      </x:c>
      <x:c r="D182" s="63" t="str">
        <x:v>Desenvolvimento full stack</x:v>
      </x:c>
      <x:c r="E182" s="63" t="str">
        <x:v>Remoto Brasil; CLT; remuneração não divulgada</x:v>
      </x:c>
      <x:c r="F182" s="63" t="str">
        <x:v>Acessar na plataforma (link privado removido)</x:v>
      </x:c>
      <x:c r="G182" s="63" t="str">
        <x:v>Avaliação comportamental futura — realizar pessoalmente se acionada</x:v>
      </x:c>
      <x:c r="H182" s="63" t="str">
        <x:v>Acompanhar e-mail e portal. Preparar exemplos factuais de PHP, React, APIs REST, SQL/PostgreSQL e Git.</x:v>
      </x:c>
      <x:c r="I182" s="63" t="str">
        <x:v>02/10/2026</x:v>
      </x:c>
      <x:c r="J182" s="63" t="str">
        <x:v>Candidatura Gupy finalizada com apresentação personalizada. Foram destacados Performance Lab/KNOTEN, PHP e frontend para NOW PRO, scraping e integrações de APIs, sem alegar experiência não comprovada.</x:v>
      </x:c>
      <x:c r="K182" s="63" t="str">
        <x:v>Sim — candidatura finalizada na Gupy 02/10</x:v>
      </x:c>
      <x:c r="L182" t="n">
        <x:f>IF(LEFT(K182,3)="Sim",1,0)+IF(LEFT(K182,6)="Portal",1,0)</x:f>
        <x:v>1</x:v>
      </x:c>
      <x:c r="M182" t="n">
        <x:f>IF(LEFT(A182,8)="Pendente",1,0)</x:f>
        <x:v>0</x:v>
      </x:c>
    </x:row>
    <x:row r="183" ht="39.599998474121094" hidden="0" customHeight="1">
      <x:c r="A183" s="63" t="str">
        <x:v>Enviada</x:v>
      </x:c>
      <x:c r="B183" s="63" t="str">
        <x:v>Skeelo</x:v>
      </x:c>
      <x:c r="C183" s="63" t="str">
        <x:v>Backend Engineer I</x:v>
      </x:c>
      <x:c r="D183" s="63" t="str">
        <x:v>Desenvolvimento backend</x:v>
      </x:c>
      <x:c r="E183" s="63" t="str">
        <x:v>Remoto Brasil; modalidade de contratação e remuneração não divulgadas</x:v>
      </x:c>
      <x:c r="F183" s="63" t="str">
        <x:v>https://ats.rippling.com/skeelo/jobs/4009c7eb-ec6d-43cc-bbb7-be859bc7cb34</x:v>
      </x:c>
      <x:c r="G183" s="63" t="str">
        <x:v>Nenhuma avaliação declarada no envio</x:v>
      </x:c>
      <x:c r="H183" s="63" t="str">
        <x:v>Acompanhar e-mail e portal. Preparar exemplos de APIs, Node.js em projetos práticos, PostgreSQL, Git, Docker e observabilidade.</x:v>
      </x:c>
      <x:c r="I183" s="63" t="str">
        <x:v>02/10/2026</x:v>
      </x:c>
      <x:c r="J183" s="63" t="str">
        <x:v>Portal Rippling confirmou o envio. Pretensão informada: R$ 5.000 brutos/mês, negociável; inglês B1 e espanhol A2 foram declarados de forma factual.</x:v>
      </x:c>
      <x:c r="K183" s="63" t="str">
        <x:v>Portal — candidatura confirmada 02/10</x:v>
      </x:c>
      <x:c r="L183" t="n">
        <x:f>IF(LEFT(K183,3)="Sim",1,0)+IF(LEFT(K183,6)="Portal",1,0)</x:f>
        <x:v>1</x:v>
      </x:c>
      <x:c r="M183" t="n">
        <x:f>IF(LEFT(A183,8)="Pendente",1,0)</x:f>
        <x:v>0</x:v>
      </x:c>
    </x:row>
    <x:row r="184" ht="39.599998474121094" hidden="0" customHeight="1">
      <x:c r="A184" s="63" t="str">
        <x:v>Enviada</x:v>
      </x:c>
      <x:c r="B184" s="63" t="str">
        <x:v>Bullla</x:v>
      </x:c>
      <x:c r="C184" s="63" t="str">
        <x:v>Analista de Dados Júnior</x:v>
      </x:c>
      <x:c r="D184" s="63" t="str">
        <x:v>Dados e BI</x:v>
      </x:c>
      <x:c r="E184" s="63" t="str">
        <x:v>São Paulo/SP; híbrido; CLT; remuneração a combinar</x:v>
      </x:c>
      <x:c r="F184" s="63" t="str">
        <x:v>https://atracaodetalentos.totvs.app/oportunidadesbullla/61/analista-de-dados-junior</x:v>
      </x:c>
      <x:c r="G184" s="63" t="str">
        <x:v>Acompanhar e-mail e portal; não havia avaliação na submissão</x:v>
      </x:c>
      <x:c r="H184" s="63" t="str">
        <x:v>Preparar exemplos de SQL, Python, automação, APIs e análise de dados. Não apresentar experiência formal de BI além do que for comprovável.</x:v>
      </x:c>
      <x:c r="I184" s="63" t="str">
        <x:v>02/10/2026</x:v>
      </x:c>
      <x:c r="J184" s="63" t="str">
        <x:v>TOTVS RH confirmou: candidatura enviada com sucesso. Aderência em SQL, Python, Git, automação e dados; PySpark/Scala/Databricks ficam como pontos de estudo.</x:v>
      </x:c>
      <x:c r="K184" s="63" t="str">
        <x:v>Portal — candidatura confirmada 02/10</x:v>
      </x:c>
      <x:c r="L184" t="n">
        <x:f>IF(LEFT(K184,3)="Sim",1,0)+IF(LEFT(K184,6)="Portal",1,0)</x:f>
        <x:v>1</x:v>
      </x:c>
      <x:c r="M184" t="n">
        <x:f>IF(LEFT(A184,8)="Pendente",1,0)</x:f>
        <x:v>0</x:v>
      </x:c>
    </x:row>
    <x:row r="185" ht="52.79999923706055" hidden="0" customHeight="1">
      <x:c r="A185" s="63" t="str">
        <x:v>Enviada</x:v>
      </x:c>
      <x:c r="B185" s="63" t="str">
        <x:v>Viceri SEIDOR</x:v>
      </x:c>
      <x:c r="C185" s="63" t="str">
        <x:v>Pessoa Desenvolvedora Full Stack Júnior — Front-End e Cloud Azure</x:v>
      </x:c>
      <x:c r="D185" s="63" t="str">
        <x:v>Desenvolvimento full stack</x:v>
      </x:c>
      <x:c r="E185" s="63" t="str">
        <x:v>Remoto; efetivo; remuneração não divulgada</x:v>
      </x:c>
      <x:c r="F185" s="63" t="str">
        <x:v>Acessar na plataforma (link privado removido)</x:v>
      </x:c>
      <x:c r="G185" s="63" t="str">
        <x:v>Mapeamento comportamental, atenção/raciocínio lógico e teste técnico guiado podem ocorrer depois — realizar pessoalmente</x:v>
      </x:c>
      <x:c r="H185" s="63" t="str">
        <x:v>Acompanhar e-mail e portal. Revisar Angular, Node.js, Azure, OAuth 2.0, CI/CD e Docker antes de entrevistas ou testes futuros.</x:v>
      </x:c>
      <x:c r="I185" s="63" t="str">
        <x:v>02/10/2026</x:v>
      </x:c>
      <x:c r="J185" s="63" t="str">
        <x:v>Candidatura finalizada na Gupy. Pretensão informada: R$ 5.000 CLT, negociável. Texto personalizado conectou Performance Lab, NOW PRO, TypeScript, APIs, Git, Docker e evolução transparente em Angular/Node/Azure.</x:v>
      </x:c>
      <x:c r="K185" s="63" t="str">
        <x:v>Sim — candidatura finalizada na Gupy 02/10</x:v>
      </x:c>
      <x:c r="L185" t="n">
        <x:f>IF(LEFT(K185,3)="Sim",1,0)+IF(LEFT(K185,6)="Portal",1,0)</x:f>
        <x:v>1</x:v>
      </x:c>
      <x:c r="M185" t="n">
        <x:f>IF(LEFT(A185,8)="Pendente",1,0)</x:f>
        <x:v>0</x:v>
      </x:c>
    </x:row>
    <x:row r="186" ht="52.79999923706055" hidden="0" customHeight="1">
      <x:c r="A186" s="63" t="str">
        <x:v>Eliminada — requisito técnico</x:v>
      </x:c>
      <x:c r="B186" s="63" t="str">
        <x:v>Atento TI</x:v>
      </x:c>
      <x:c r="C186" s="63" t="str">
        <x:v>Desenvolvedor Full Stack Pleno (.NET | SQL Server | Cloud)</x:v>
      </x:c>
      <x:c r="D186" s="63" t="str">
        <x:v>Desenvolvimento full stack</x:v>
      </x:c>
      <x:c r="E186" s="63" t="str">
        <x:v>Modalidade não declarada; salário oficial R$ 4.030; efetivo</x:v>
      </x:c>
      <x:c r="F186" s="63" t="str">
        <x:v>Acessar na plataforma (link privado removido)</x:v>
      </x:c>
      <x:c r="G186" s="63" t="str">
        <x:v>Encerrada pelo filtro eliminatório do portal</x:v>
      </x:c>
      <x:c r="H186" s="63" t="str">
        <x:v>Não reaplicar. Priorizar estudo prático de SQL Server e SSIS somente se houver interesse em vagas semelhantes.</x:v>
      </x:c>
      <x:c r="I186" s="63" t="str">
        <x:v>02/10/2026</x:v>
      </x:c>
      <x:c r="J186" s="63" t="str">
        <x:v>A Gupy eliminou a candidatura pelo requisito obrigatório de experiência com SQL Server. A resposta foi mantida factual: há experiência com PostgreSQL/SQL, não com SQL Server; SSIS também foi informado como não.</x:v>
      </x:c>
      <x:c r="K186" s="63" t="str">
        <x:v>Não — eliminada por requisito obrigatório 02/10</x:v>
      </x:c>
      <x:c r="L186" t="n">
        <x:f>IF(LEFT(K186,3)="Sim",1,0)+IF(LEFT(K186,6)="Portal",1,0)</x:f>
        <x:v>0</x:v>
      </x:c>
      <x:c r="M186" t="n">
        <x:f>IF(LEFT(A186,8)="Pendente",1,0)</x:f>
        <x:v>0</x:v>
      </x:c>
    </x:row>
    <x:row r="187" ht="66" hidden="0" customHeight="1">
      <x:c r="A187" s="63" t="str">
        <x:v>Eliminada — requisitos técnicos</x:v>
      </x:c>
      <x:c r="B187" s="63" t="str">
        <x:v>Cuattro Live &amp; Digital</x:v>
      </x:c>
      <x:c r="C187" s="63" t="str">
        <x:v>Desenvolvedor(a) de Software Júnior | Full-Stack | Produtos Digitais</x:v>
      </x:c>
      <x:c r="D187" s="63" t="str">
        <x:v>Desenvolvimento full stack e IA</x:v>
      </x:c>
      <x:c r="E187" s="63" t="str">
        <x:v>São Paulo/SP; híbrido 3x/semana; PJ; remuneração não divulgada</x:v>
      </x:c>
      <x:c r="F187" s="63" t="str">
        <x:v>Acessar na plataforma (link privado removido)</x:v>
      </x:c>
      <x:c r="G187" s="63" t="str">
        <x:v>Encerrada pelo filtro eliminatório do portal</x:v>
      </x:c>
      <x:c r="H187" s="63" t="str">
        <x:v>Não reaplicar. Se quiser mirar vagas semelhantes, consolidar evidências de Node.js prático e NoSQL em projeto real antes de nova candidatura.</x:v>
      </x:c>
      <x:c r="I187" s="63" t="str">
        <x:v>02/10/2026</x:v>
      </x:c>
      <x:c r="J187" s="63" t="str">
        <x:v>A Gupy eliminou a candidatura por respostas bloqueadas previamente para experiência prática em Node.js e NoSQL. Os campos estavam travados e não foram alterados; a apresentação foi atualizada de forma factual com Performance Lab antes da finalização.</x:v>
      </x:c>
      <x:c r="K187" s="63" t="str">
        <x:v>Não — eliminada por requisitos obrigatórios 02/10</x:v>
      </x:c>
      <x:c r="L187" t="n">
        <x:f>IF(LEFT(K187,3)="Sim",1,0)+IF(LEFT(K187,6)="Portal",1,0)</x:f>
        <x:v>0</x:v>
      </x:c>
      <x:c r="M187" t="n">
        <x:f>IF(LEFT(A187,8)="Pendente",1,0)</x:f>
        <x:v>0</x:v>
      </x:c>
    </x:row>
    <x:row r="188" ht="39.599998474121094" hidden="0" customHeight="1">
      <x:c r="A188" s="63" t="str">
        <x:v>Pendente — login/cadastro</x:v>
      </x:c>
      <x:c r="B188" s="63" t="str">
        <x:v>Lyncas</x:v>
      </x:c>
      <x:c r="C188" s="63" t="str">
        <x:v>Desenvolvedor Full Stack Júnior (Node.js e React)</x:v>
      </x:c>
      <x:c r="D188" s="63" t="str">
        <x:v>Desenvolvimento full stack</x:v>
      </x:c>
      <x:c r="E188" s="63" t="str">
        <x:v>São Paulo/SP; híbrido; remuneração não divulgada</x:v>
      </x:c>
      <x:c r="F188" s="63" t="str">
        <x:v>https://www.netvagas.com.br/empresa/anuncios/a2167432/desenvolvedor-fullstack-junior-node-e-react-hibrido-sp-fln-joinville-ou-poa/?apply=2</x:v>
      </x:c>
      <x:c r="G188" s="63" t="str">
        <x:v>Nenhuma avaliação acessível sem login</x:v>
      </x:c>
      <x:c r="H188" s="63" t="str">
        <x:v>Efetuar login/cadastro no NetVagas/InHire, revisar o anúncio atual e personalizar com React, TypeScript, APIs, PostgreSQL, Git, Docker e Node.js em projetos práticos.</x:v>
      </x:c>
      <x:c r="I188" s="63" t="str">
        <x:v>02/10/2026</x:v>
      </x:c>
      <x:c r="J188" s="63" t="str">
        <x:v>Vaga válida e compatível, mas o fluxo externo exige login/cadastro antes de redirecionar para a candidatura. Nenhuma senha foi criada ou presumida.</x:v>
      </x:c>
      <x:c r="K188" s="63" t="str">
        <x:v>Não — login/cadastro externo pendente</x:v>
      </x:c>
      <x:c r="L188" t="n">
        <x:f>IF(LEFT(K188,3)="Sim",1,0)+IF(LEFT(K188,6)="Portal",1,0)</x:f>
        <x:v>0</x:v>
      </x:c>
      <x:c r="M188" t="n">
        <x:f>IF(LEFT(A188,8)="Pendente",1,0)</x:f>
        <x:v>1</x:v>
      </x:c>
    </x:row>
    <x:row r="189" ht="52.79999923706055" hidden="0" customHeight="1">
      <x:c r="A189" s="63" t="str">
        <x:v>Enviada</x:v>
      </x:c>
      <x:c r="B189" s="63" t="str">
        <x:v>Suhai Seguradora</x:v>
      </x:c>
      <x:c r="C189" s="63" t="str">
        <x:v>Analista de Dados Júnior</x:v>
      </x:c>
      <x:c r="D189" s="63" t="str">
        <x:v>Dados e Analytics</x:v>
      </x:c>
      <x:c r="E189" s="63" t="str">
        <x:v>São Paulo/SP; híbrido; efetivo; remuneração não divulgada</x:v>
      </x:c>
      <x:c r="F189" s="63" t="str">
        <x:v>Acessar na plataforma (link privado removido)</x:v>
      </x:c>
      <x:c r="G189" s="63" t="str">
        <x:v>Mapeamento comportamental pode ocorrer depois — realizar pessoalmente</x:v>
      </x:c>
      <x:c r="H189" s="63" t="str">
        <x:v>Acompanhar e-mail e portal. Estudar Power BI e Databricks; consolidar exemplos de SQL, Python, limpeza de dados, automação e Excel.</x:v>
      </x:c>
      <x:c r="I189" s="63" t="str">
        <x:v>02/10/2026</x:v>
      </x:c>
      <x:c r="J189" s="63" t="str">
        <x:v>Candidatura finalizada na Gupy com apresentação personalizada para dados e Analytics. Respostas já bloqueadas pelo portal declaravam SQL e Python, não Power BI; não foram alteradas.</x:v>
      </x:c>
      <x:c r="K189" s="63" t="str">
        <x:v>Sim — candidatura finalizada na Gupy 02/10</x:v>
      </x:c>
      <x:c r="L189" t="n">
        <x:f>IF(LEFT(K189,3)="Sim",1,0)+IF(LEFT(K189,6)="Portal",1,0)</x:f>
        <x:v>1</x:v>
      </x:c>
      <x:c r="M189" t="n">
        <x:f>IF(LEFT(A189,8)="Pendente",1,0)</x:f>
        <x:v>0</x:v>
      </x:c>
    </x:row>
    <x:row r="190" ht="52.79999923706055" hidden="0" customHeight="1">
      <x:c r="A190" s="63" t="str">
        <x:v>Enviada</x:v>
      </x:c>
      <x:c r="B190" s="63" t="str">
        <x:v>JETSOFT</x:v>
      </x:c>
      <x:c r="C190" s="63" t="str">
        <x:v>Desenvolvedor(a) Fullstack</x:v>
      </x:c>
      <x:c r="D190" s="63" t="str">
        <x:v>Desenvolvimento full stack e IA</x:v>
      </x:c>
      <x:c r="E190" s="63" t="str">
        <x:v>São Paulo/SP ou Vale do Paraíba/SP; híbrido; CLT; remuneração oficial a combinar</x:v>
      </x:c>
      <x:c r="F190" s="63" t="str">
        <x:v>https://www.catho.com.br/vagas/desenvolvedora-fullstack/38135336/</x:v>
      </x:c>
      <x:c r="G190" s="63" t="str">
        <x:v>Nenhuma avaliação declarada na candidatura</x:v>
      </x:c>
      <x:c r="H190" s="63" t="str">
        <x:v>Acompanhar e-mail e Catho. Preparar exemplos de React, TypeScript, Python, APIs REST, SQL, Git, testes e integrações com IA.</x:v>
      </x:c>
      <x:c r="I190" s="63" t="str">
        <x:v>02/10/2026</x:v>
      </x:c>
      <x:c r="J190" s="63" t="str">
        <x:v>Candidatura confirmada na Catho com a mensagem 'CV enviado!'. Foram respondidas de forma factual as perguntas sobre backend em Python, APIs REST, SQL, experiência profissional full stack e React/TypeScript.</x:v>
      </x:c>
      <x:c r="K190" s="63" t="str">
        <x:v>Portal — CV enviado 02/10</x:v>
      </x:c>
      <x:c r="L190" t="n">
        <x:f>IF(LEFT(K190,3)="Sim",1,0)+IF(LEFT(K190,6)="Portal",1,0)</x:f>
        <x:v>1</x:v>
      </x:c>
      <x:c r="M190" t="n">
        <x:f>IF(LEFT(A190,8)="Pendente",1,0)</x:f>
        <x:v>0</x:v>
      </x:c>
    </x:row>
    <x:row r="191" ht="52.79999923706055" hidden="0" customHeight="1">
      <x:c r="A191" s="63" t="str">
        <x:v>Enviada</x:v>
      </x:c>
      <x:c r="B191" s="63" t="str">
        <x:v>MEOSST Tecnologia Ltda.</x:v>
      </x:c>
      <x:c r="C191" s="63" t="str">
        <x:v>Desenvolvedor Full Stack Pleno</x:v>
      </x:c>
      <x:c r="D191" s="63" t="str">
        <x:v>Desenvolvimento full stack, integrações e IA</x:v>
      </x:c>
      <x:c r="E191" s="63" t="str">
        <x:v>São Paulo/SP; PJ; 44 horas semanais; salário oficial R$ 3.500</x:v>
      </x:c>
      <x:c r="F191" s="63" t="str">
        <x:v>https://www.catho.com.br/vagas/desenvolvedor-full-stack-pleno/37943370/</x:v>
      </x:c>
      <x:c r="G191" s="63" t="str">
        <x:v>Nenhuma avaliação declarada na candidatura</x:v>
      </x:c>
      <x:c r="H191" s="63" t="str">
        <x:v>Acompanhar e-mail e Catho. Preparar exemplos de frontend, backend, APIs, integrações, SQL, JSON, Git, automação e publicação de aplicações.</x:v>
      </x:c>
      <x:c r="I191" s="63" t="str">
        <x:v>02/10/2026</x:v>
      </x:c>
      <x:c r="J191" s="63" t="str">
        <x:v>Candidatura confirmada na Catho com a mensagem 'CV enviado!'. Embora o título seja pleno, a descrição não exigia anos mínimos e disse que não era necessário dominar todas as tecnologias listadas.</x:v>
      </x:c>
      <x:c r="K191" s="63" t="str">
        <x:v>Portal — CV enviado 02/10</x:v>
      </x:c>
      <x:c r="L191" t="n">
        <x:f>IF(LEFT(K191,3)="Sim",1,0)+IF(LEFT(K191,6)="Portal",1,0)</x:f>
        <x:v>1</x:v>
      </x:c>
      <x:c r="M191" t="n">
        <x:f>IF(LEFT(A191,8)="Pendente",1,0)</x:f>
        <x:v>0</x:v>
      </x:c>
    </x:row>
    <x:row r="192" ht="66" hidden="0" customHeight="1">
      <x:c r="A192" s="63" t="str">
        <x:v>Pendente — confirmar requisito de tempo</x:v>
      </x:c>
      <x:c r="B192" s="63" t="str">
        <x:v>NOVVAX Tecnologia</x:v>
      </x:c>
      <x:c r="C192" s="63" t="str">
        <x:v>Desenvolvedor Full Stack</x:v>
      </x:c>
      <x:c r="D192" s="63" t="str">
        <x:v>Desenvolvimento full stack</x:v>
      </x:c>
      <x:c r="E192" s="63" t="str">
        <x:v>São Paulo/SP; híbrido inicial 2 dias; PJ; salário oficial a partir de R$ 3.000</x:v>
      </x:c>
      <x:c r="F192" s="63" t="str">
        <x:v>https://www.catho.com.br/vagas/desenvolvedor-full-stack/37858394/</x:v>
      </x:c>
      <x:c r="G192" s="63" t="str">
        <x:v>Sem avaliação acessada; formulário pergunta sobre mínimo de 2 anos de atuação full stack</x:v>
      </x:c>
      <x:c r="H192" s="63" t="str">
        <x:v>Confirmar a duração comprovável de experiência profissional full stack antes de responder. A vaga pede React, Python, PHP, PostgreSQL, MongoDB e Git; MongoDB também é gap atual.</x:v>
      </x:c>
      <x:c r="I192" s="63" t="str">
        <x:v>02/10/2026</x:v>
      </x:c>
      <x:c r="J192" s="63" t="str">
        <x:v>Vaga revisada e não enviada: o formulário exige confirmação de pelo menos dois anos de atuação como desenvolvedor full stack. A informação disponível confirma experiência profissional, mas não estabelece esse período com segurança.</x:v>
      </x:c>
      <x:c r="K192" s="63" t="str">
        <x:v>Não — requisito de tempo ainda sem confirmação</x:v>
      </x:c>
      <x:c r="L192" t="n">
        <x:f>IF(LEFT(K192,3)="Sim",1,0)+IF(LEFT(K192,6)="Portal",1,0)</x:f>
        <x:v>0</x:v>
      </x:c>
      <x:c r="M192" t="n">
        <x:f>IF(LEFT(A192,8)="Pendente",1,0)</x:f>
        <x:v>1</x:v>
      </x:c>
    </x:row>
    <x:row r="193" ht="52.79999923706055" hidden="0" customHeight="1">
      <x:c r="A193" s="63" t="str">
        <x:v>Pendente — gaps obrigatórios</x:v>
      </x:c>
      <x:c r="B193" s="63" t="str">
        <x:v>Interação - Soluções Inteligentes em Educação</x:v>
      </x:c>
      <x:c r="C193" s="63" t="str">
        <x:v>Desenvolvedor(a) FullStack - Plataforma Web Gamificada</x:v>
      </x:c>
      <x:c r="D193" s="63" t="str">
        <x:v>Desenvolvimento full stack e IA</x:v>
      </x:c>
      <x:c r="E193" s="63" t="str">
        <x:v>Remoto; PJ temporário de 3 meses; 40 horas semanais; remuneração não divulgada</x:v>
      </x:c>
      <x:c r="F193" s="63" t="str">
        <x:v>https://www.catho.com.br/vagas/desenvolvedora-fullstack-plataforma-web-gamificada/38407663/</x:v>
      </x:c>
      <x:c r="G193" s="63" t="str">
        <x:v>Nenhuma avaliação acessada; candidatura não iniciada</x:v>
      </x:c>
      <x:c r="H193" s="63" t="str">
        <x:v>Revisar somente após consolidar Node.js, Drizzle ORM, BullMQ/Redis e pnpm workspaces/monorepo. Não apresentar esses requisitos como experiência atual.</x:v>
      </x:c>
      <x:c r="I193" s="63" t="str">
        <x:v>02/10/2026</x:v>
      </x:c>
      <x:c r="J193" s="63" t="str">
        <x:v>Vaga remota de alto interesse em IA, educação e gamificação, mas a descrição trata Node.js, Drizzle, BullMQ/Redis e monorepo como obrigatórios. Não enviada para evitar resposta imprecisa.</x:v>
      </x:c>
      <x:c r="K193" s="63" t="str">
        <x:v>Não — gaps obrigatórios atuais</x:v>
      </x:c>
      <x:c r="L193" t="n">
        <x:f>IF(LEFT(K193,3)="Sim",1,0)+IF(LEFT(K193,6)="Portal",1,0)</x:f>
        <x:v>0</x:v>
      </x:c>
      <x:c r="M193" t="n">
        <x:f>IF(LEFT(A193,8)="Pendente",1,0)</x:f>
        <x:v>1</x:v>
      </x:c>
    </x:row>
    <x:row r="194" ht="79.19999694824219" hidden="0" customHeight="1">
      <x:c r="A194" s="63" t="str">
        <x:v>Pendente — requisitos obrigatórios</x:v>
      </x:c>
      <x:c r="B194" s="63" t="str">
        <x:v>Neohype Digital</x:v>
      </x:c>
      <x:c r="C194" s="63" t="str">
        <x:v>Desenvolvedor Full Stack (C# | .NET)</x:v>
      </x:c>
      <x:c r="D194" s="63" t="str">
        <x:v>Desenvolvimento full stack</x:v>
      </x:c>
      <x:c r="E194" s="63" t="str">
        <x:v>São Paulo/SP; híbrido; efetivo; remuneração não divulgada</x:v>
      </x:c>
      <x:c r="F194" s="63" t="str">
        <x:v>Acessar na plataforma (link privado removido)</x:v>
      </x:c>
      <x:c r="G194" s="63" t="str">
        <x:v>Nenhuma avaliação iniciada; formulário ainda não enviado</x:v>
      </x:c>
      <x:c r="H194" s="63" t="str">
        <x:v>Não enviar sem evidência de uso profissional nos períodos exigidos. O formulário só oferece 1–2, 3–4 ou mais de 5 anos para C#/.NET, React/Angular, SQL Server e RabbitMQ/Hangfire; não há opção para ausência ou período inferior a um ano.</x:v>
      </x:c>
      <x:c r="I194" s="63" t="str">
        <x:v>02/10/2026</x:v>
      </x:c>
      <x:c r="J194" s="63" t="str">
        <x:v>A vaga é híbrida e tem aderência em .NET, React, PostgreSQL, APIs, Git, testes, Docker e cloud, mas trata SQL Server, RabbitMQ e Hangfire como experiência obrigatória. O formulário também não permite declarar experiência inferior a um ano, portanto a candidatura não foi enviada nem recebeu resposta imprecisa.</x:v>
      </x:c>
      <x:c r="K194" s="63" t="str">
        <x:v>Não — requisitos obrigatórios sem resposta factual disponível</x:v>
      </x:c>
      <x:c r="L194" t="n">
        <x:f>IF(LEFT(K194,3)="Sim",1,0)+IF(LEFT(K194,6)="Portal",1,0)</x:f>
        <x:v>0</x:v>
      </x:c>
      <x:c r="M194" t="n">
        <x:f>IF(LEFT(A194,8)="Pendente",1,0)</x:f>
        <x:v>1</x:v>
      </x:c>
    </x:row>
    <x:row r="195" ht="52.79999923706055" hidden="0" customHeight="1">
      <x:c r="A195" s="63" t="str">
        <x:v>Encerrada — inscrições fechadas</x:v>
      </x:c>
      <x:c r="B195" s="63" t="str">
        <x:v>Tokio Marine</x:v>
      </x:c>
      <x:c r="C195" s="63" t="str">
        <x:v>Analista de Dados Júnior (Precificação e Inteligência de Negócios)</x:v>
      </x:c>
      <x:c r="D195" s="63" t="str">
        <x:v>Dados, ETL e analytics</x:v>
      </x:c>
      <x:c r="E195" s="63" t="str">
        <x:v>São Paulo/SP; híbrido; efetivo; remuneração não divulgada</x:v>
      </x:c>
      <x:c r="F195" s="63" t="str">
        <x:v>https://tokiomarine.gupy.io/jobs/12024259</x:v>
      </x:c>
      <x:c r="G195" s="63" t="str">
        <x:v>Não iniciada; etapas futuras listavam fit cultural e testes complementares</x:v>
      </x:c>
      <x:c r="H195" s="63" t="str">
        <x:v>Não reaplicar nesta publicação. Monitorar novas vagas júnior de dados/analytics da Tokio Marine.</x:v>
      </x:c>
      <x:c r="I195" s="63" t="str">
        <x:v>02/10/2026</x:v>
      </x:c>
      <x:c r="J195" s="63" t="str">
        <x:v>O anúncio foi revalidado no portal oficial e as inscrições já estavam encerradas. A descrição era aderente em SQL, Python, ETL, modelagem e automação; Power BI, Airflow e domínio de seguros eram pontos de desenvolvimento.</x:v>
      </x:c>
      <x:c r="K195" s="63" t="str">
        <x:v>Não aplicável — vaga encerrada na conferência de 02/10</x:v>
      </x:c>
      <x:c r="L195" t="n">
        <x:f>IF(LEFT(K195,3)="Sim",1,0)+IF(LEFT(K195,6)="Portal",1,0)</x:f>
        <x:v>0</x:v>
      </x:c>
      <x:c r="M195" t="n">
        <x:f>IF(LEFT(A195,8)="Pendente",1,0)</x:f>
        <x:v>0</x:v>
      </x:c>
    </x:row>
    <x:row r="196" ht="79.19999694824219" hidden="0" customHeight="1">
      <x:c r="A196" s="63" t="str">
        <x:v>Pendente — formulário e requisitos</x:v>
      </x:c>
      <x:c r="B196" s="63" t="str">
        <x:v>MOST Specialist Technologies</x:v>
      </x:c>
      <x:c r="C196" s="63" t="str">
        <x:v>Full Stack Developer (Python) — Hiperautomação</x:v>
      </x:c>
      <x:c r="D196" s="63" t="str">
        <x:v>Python, automação e desenvolvimento full stack</x:v>
      </x:c>
      <x:c r="E196" s="63" t="str">
        <x:v>Remoto; estágio 6 horas/dia; remuneração divulgada no Indeed: R$ 4.000/mês</x:v>
      </x:c>
      <x:c r="F196" s="63" t="str">
        <x:v>https://br.indeed.com/viewjob?jk=8056a8178617f40a</x:v>
      </x:c>
      <x:c r="G196" s="63" t="str">
        <x:v>Desafio técnico posterior e avaliação psicológica são previstos — realizar pessoalmente se a candidatura avançar</x:v>
      </x:c>
      <x:c r="H196" s="63" t="str">
        <x:v>Formulário oficial encontrado e revisado. Só retomar se houver como anexar o currículo e preencher a matriz técnica com evidência factual; ela exige nível para tecnologias como Django, multithread e MongoDB sem opção de 'sem experiência'.</x:v>
      </x:c>
      <x:c r="I196" s="63" t="str">
        <x:v>02/10/2026</x:v>
      </x:c>
      <x:c r="J196" s="63" t="str">
        <x:v>O site oficial confirma trabalho remoto e estágio de 6 horas com bolsa de R$ 4.000. O formulário oficial requer upload do currículo e grade obrigatória de tecnologias; ele não oferece resposta para ausência de experiência em Django, multithread e MongoDB. Não foi enviado para evitar declaração imprecisa.</x:v>
      </x:c>
      <x:c r="K196" s="63" t="str">
        <x:v>Não — formulário exige upload e níveis sem alternativa factual para todos os itens</x:v>
      </x:c>
      <x:c r="L196" t="n">
        <x:f>IF(LEFT(K196,3)="Sim",1,0)+IF(LEFT(K196,6)="Portal",1,0)</x:f>
        <x:v>0</x:v>
      </x:c>
      <x:c r="M196" t="n">
        <x:f>IF(LEFT(A196,8)="Pendente",1,0)</x:f>
        <x:v>1</x:v>
      </x:c>
    </x:row>
    <x:row r="197">
      <x:c r="A197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97" s="63"/>
      <x:c r="C197" s="63"/>
      <x:c r="D197" s="63"/>
      <x:c r="E197" s="63"/>
      <x:c r="F197" s="63"/>
      <x:c r="G197" s="63"/>
      <x:c r="H197" s="63"/>
      <x:c r="I197" s="63"/>
      <x:c r="J197" s="63"/>
      <x:c r="K197" s="63"/>
    </x:row>
  </x:sheetData>
  <x:mergeCells>
    <x:mergeCell ref="A197:K197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da9b7dfea1e449a6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  <x:row r="110">
      <x:c r="A110" s="61" t="str">
        <x:v>02/10/2026</x:v>
      </x:c>
      <x:c r="B110" s="28" t="str">
        <x:v>Gupy</x:v>
      </x:c>
      <x:c r="C110" s="28" t="str">
        <x:v>Perfil global</x:v>
      </x:c>
      <x:c r="D110" s="28" t="str">
        <x:v>Currículo e experiência atualizados</x:v>
      </x:c>
      <x:c r="E110" s="28" t="str">
        <x:v>O perfil foi atualizado com a experiência profissional full stack na Performance Lab e a atuação autônoma via CNPJ em software, automação, PHP, frontend, scraping e integrações de APIs. A plataforma informa que alterações de currículo são refletidas nas candidaturas ativas.</x:v>
      </x:c>
      <x:c r="F110" s="29" t="str">
        <x:v>Concluído</x:v>
      </x:c>
      <x:c r="G110" s="30" t="str">
        <x:v>Usar o perfil como fonte nas próximas vagas Gupy; revisar somente perguntas específicas de cada empresa.</x:v>
      </x:c>
    </x:row>
    <x:row r="111">
      <x:c r="A111" s="61" t="str">
        <x:v>02/10/2026</x:v>
      </x:c>
      <x:c r="B111" s="28" t="str">
        <x:v>InfoJobs</x:v>
      </x:c>
      <x:c r="C111" s="28" t="str">
        <x:v>Perfil e pretensão</x:v>
      </x:c>
      <x:c r="D111" s="28" t="str">
        <x:v>Resumo atualizado</x:v>
      </x:c>
      <x:c r="E111" s="28" t="str">
        <x:v>O resumo foi atualizado de forma factual com Performance Lab, .NET/C#, React/TypeScript, PostgreSQL, APIs, automação e experiência autônoma. A pretensão mínima foi ajustada para R$ 3.000.</x:v>
      </x:c>
      <x:c r="F111" s="29" t="str">
        <x:v>Concluído</x:v>
      </x:c>
      <x:c r="G111" s="30" t="str">
        <x:v>Acompanhar convites e usar o currículo mestre nas novas candidaturas.</x:v>
      </x:c>
    </x:row>
    <x:row r="112">
      <x:c r="A112" s="61" t="str">
        <x:v>02/10/2026</x:v>
      </x:c>
      <x:c r="B112" s="28" t="str">
        <x:v>UOL EdTech / Gupy</x:v>
      </x:c>
      <x:c r="C112" s="28" t="str">
        <x:v>Engenheiro de Software Jr. (Node.js / React.js)</x:v>
      </x:c>
      <x:c r="D112" s="28" t="str">
        <x:v>Candidatura finalizada</x:v>
      </x:c>
      <x:c r="E112" s="28" t="str">
        <x:v>O formulário foi concluído e a Gupy exibiu a confirmação de candidatura finalizada. A apresentação foi personalizada com experiência profissional full stack factual, sem exagerar experiência em Node.js.</x:v>
      </x:c>
      <x:c r="F112" s="29" t="str">
        <x:v>Concluído</x:v>
      </x:c>
      <x:c r="G112" s="30" t="str">
        <x:v>Acompanhar e-mail e portal. Uma etapa futura de teste deve ser realizada pessoalmente pelo candidato, se for solicitada.</x:v>
      </x:c>
    </x:row>
    <x:row r="113">
      <x:c r="A113" s="61" t="str">
        <x:v>02/10/2026</x:v>
      </x:c>
      <x:c r="B113" s="28" t="str">
        <x:v>Afya / Gupy</x:v>
      </x:c>
      <x:c r="C113" s="28" t="str">
        <x:v>Analista de Dados Júnior</x:v>
      </x:c>
      <x:c r="D113" s="28" t="str">
        <x:v>Candidatura validada</x:v>
      </x:c>
      <x:c r="E113" s="28" t="str">
        <x:v>A candidatura já existente foi revisada e a Gupy exibiu confirmação de candidatura finalizada após a personalização factual voltada a SQL, Python, dados, automação e produto B2B.</x:v>
      </x:c>
      <x:c r="F113" s="29" t="str">
        <x:v>Concluído</x:v>
      </x:c>
      <x:c r="G113" s="30" t="str">
        <x:v>Não duplicar a candidatura; acompanhar e-mail e portal.</x:v>
      </x:c>
    </x:row>
    <x:row r="114">
      <x:c r="A114" s="61" t="str">
        <x:v>02/10/2026</x:v>
      </x:c>
      <x:c r="B114" s="28" t="str">
        <x:v>B2Finance / H&amp;CO</x:v>
      </x:c>
      <x:c r="C114" s="28" t="str">
        <x:v>Full Stack Júnior</x:v>
      </x:c>
      <x:c r="D114" s="28" t="str">
        <x:v>Duplicidade evitada</x:v>
      </x:c>
      <x:c r="E114" s="28" t="str">
        <x:v>O portal InfoJobs/Pandapé reconheceu a participação já existente com o e-mail cadastrado. Nenhuma candidatura duplicada foi enviada.</x:v>
      </x:c>
      <x:c r="F114" s="29" t="str">
        <x:v>Concluído</x:v>
      </x:c>
      <x:c r="G114" s="30" t="str">
        <x:v>Acompanhar e-mail e portal.</x:v>
      </x:c>
    </x:row>
    <x:row r="115">
      <x:c r="A115" s="61" t="str">
        <x:v>02/10/2026</x:v>
      </x:c>
      <x:c r="B115" s="28" t="str">
        <x:v>Serasa Experian</x:v>
      </x:c>
      <x:c r="C115" s="28" t="str">
        <x:v>Analista de Desenvolvimento de Software I — Backend Java</x:v>
      </x:c>
      <x:c r="D115" s="28" t="str">
        <x:v>Formulário preparado</x:v>
      </x:c>
      <x:c r="E115" s="28" t="str">
        <x:v>A vaga home office foi validada e o formulário SmartRecruiters foi aberto. O portal exige anexar o PDF local antes do envio; a mensagem de apresentação foi preparada de forma factual.</x:v>
      </x:c>
      <x:c r="F115" s="29" t="str">
        <x:v>Pendente</x:v>
      </x:c>
      <x:c r="G115" s="30" t="str">
        <x:v>Anexar o currículo mestre e enviar somente após revisão final do formulário.</x:v>
      </x:c>
    </x:row>
    <x:row r="116">
      <x:c r="A116" s="61" t="str">
        <x:v>02/10/2026</x:v>
      </x:c>
      <x:c r="B116" s="28" t="str">
        <x:v>Firefox / perfis</x:v>
      </x:c>
      <x:c r="C116" s="28" t="str">
        <x:v>Sessão e perfil TOTVS RH</x:v>
      </x:c>
      <x:c r="D116" s="28" t="str">
        <x:v>Conexão restabelecida e perfil corrigido</x:v>
      </x:c>
      <x:c r="E116" s="28" t="str">
        <x:v>O Firefox voltou a responder. No perfil TOTVS RH, o cargo-alvo foi corrigido para Desenvolvedor Full Stack, o resumo profissional foi reescrito de forma técnica, a faixa desejada foi atualizada para R$ 3.000–R$ 7.000, o LinkedIn foi corrigido e Performance Lab foi adicionada como experiência profissional; a Falcon foi mantida como experiência comercial com término em nov/2025.</x:v>
      </x:c>
      <x:c r="F116" s="29" t="str">
        <x:v>Concluído</x:v>
      </x:c>
      <x:c r="G116" s="30" t="str">
        <x:v>Anexo de currículo depende de upload local no portal; usar o PDF mestre atual quando o controle de upload estiver disponível.</x:v>
      </x:c>
    </x:row>
    <x:row r="117">
      <x:c r="A117" s="61" t="str">
        <x:v>02/10/2026</x:v>
      </x:c>
      <x:c r="B117" s="28" t="str">
        <x:v>SoftExpert, Skeelo e Bullla</x:v>
      </x:c>
      <x:c r="C117" s="28" t="str">
        <x:v>Três candidaturas técnicas</x:v>
      </x:c>
      <x:c r="D117" s="28" t="str">
        <x:v>Candidaturas confirmadas</x:v>
      </x:c>
      <x:c r="E117" s="28" t="str">
        <x:v>Foram confirmadas candidaturas para Full Stack Jr. remoto na SoftExpert, Backend Engineer I remoto na Skeelo e Analista de Dados Jr. híbrido na Bullla. As apresentações foram adaptadas ao cargo e mantiveram Performance Lab, NOW PRO e os gaps técnicos de forma honesta.</x:v>
      </x:c>
      <x:c r="F117" s="29" t="str">
        <x:v>Concluído</x:v>
      </x:c>
      <x:c r="G117" s="30" t="str">
        <x:v>Acompanhar e-mail e portal. Qualquer avaliação comportamental, técnica ou entrevista deve ser realizada pessoalmente pelo candidato.</x:v>
      </x:c>
    </x:row>
    <x:row r="118">
      <x:c r="A118" s="61" t="str">
        <x:v>02/10/2026</x:v>
      </x:c>
      <x:c r="B118" s="28" t="str">
        <x:v>Gupy</x:v>
      </x:c>
      <x:c r="C118" s="28" t="str">
        <x:v>Viceri, ISA Saúde e Construmarket</x:v>
      </x:c>
      <x:c r="D118" s="28" t="str">
        <x:v>Três candidaturas personalizadas finalizadas</x:v>
      </x:c>
      <x:c r="E118" s="28" t="str">
        <x:v>Foram finalizadas candidaturas para Viceri Full Stack Jr. remoto, ISA Saúde Desenvolvedor Jr. híbrido em São Paulo e Construmarket Desenvolvedor Jr. remoto. Cada texto foi adaptado aos requisitos reais, destacando Performance Lab, .NET/C#, React/TypeScript, PostgreSQL, APIs, integrações e pontos de estudo sem inflar experiência.</x:v>
      </x:c>
      <x:c r="F118" s="29" t="str">
        <x:v>Concluído</x:v>
      </x:c>
      <x:c r="G118" s="30" t="str">
        <x:v>Viceri e Construmarket podem encaminhar avaliação comportamental/lógica/técnica em fase futura; não iniciar avaliações sem o candidato presente.</x:v>
      </x:c>
    </x:row>
    <x:row r="119">
      <x:c r="A119" s="61" t="str">
        <x:v>02/10/2026</x:v>
      </x:c>
      <x:c r="B119" s="28" t="str">
        <x:v>Gupy</x:v>
      </x:c>
      <x:c r="C119" s="28" t="str">
        <x:v>Atento TI e Cuattro</x:v>
      </x:c>
      <x:c r="D119" s="28" t="str">
        <x:v>Filtros técnicos identificados</x:v>
      </x:c>
      <x:c r="E119" s="28" t="str">
        <x:v>As duas candidaturas foram finalizadas com respostas factuais. A Atento eliminou por SQL Server obrigatório; a Cuattro eliminou por Node.js prático e NoSQL. Na Cuattro, as respostas eliminatórias estavam previamente bloqueadas e não foram alteradas.</x:v>
      </x:c>
      <x:c r="F119" s="29" t="str">
        <x:v>Concluído</x:v>
      </x:c>
      <x:c r="G119" s="30" t="str">
        <x:v>Usar os filtros como orientação de estudo e evitar reaplicação duplicada nas mesmas vagas.</x:v>
      </x:c>
    </x:row>
    <x:row r="120">
      <x:c r="A120" s="61" t="str">
        <x:v>02/10/2026</x:v>
      </x:c>
      <x:c r="B120" s="28" t="str">
        <x:v>Gupy</x:v>
      </x:c>
      <x:c r="C120" s="28" t="str">
        <x:v>Suhai Seguradora - Analista de Dados Júnior</x:v>
      </x:c>
      <x:c r="D120" s="28" t="str">
        <x:v>Candidatura personalizada finalizada</x:v>
      </x:c>
      <x:c r="E120" s="28" t="str">
        <x:v>Foi finalizada a candidatura híbrida em São Paulo para Analista de Dados Júnior. A apresentação destacou SQL, Python, PostgreSQL, automação, dados operacionais, Excel avançado e Performance Lab sem alegar domínio em Power BI ou Databricks.</x:v>
      </x:c>
      <x:c r="F120" s="29" t="str">
        <x:v>Concluído</x:v>
      </x:c>
      <x:c r="G120" s="30" t="str">
        <x:v>Mapeamento comportamental futuro deve ser realizado pessoalmente pelo candidato.</x:v>
      </x:c>
    </x:row>
    <x:row r="121">
      <x:c r="A121" s="61" t="str">
        <x:v>02/10/2026</x:v>
      </x:c>
      <x:c r="B121" s="28" t="str">
        <x:v>Gupy</x:v>
      </x:c>
      <x:c r="C121" s="28" t="str">
        <x:v>Minsait - Analista de Dados Jr - Osasco/SP</x:v>
      </x:c>
      <x:c r="D121" s="28" t="str">
        <x:v>Candidatura personalizada finalizada</x:v>
      </x:c>
      <x:c r="E121" s="28" t="str">
        <x:v>Foi concluída a candidatura CLT híbrida para dados, automação e meios de pagamento em Osasco. A apresentação conectou o trabalho full stack na Performance Lab/KNOTEN a Python, SQL, PostgreSQL, APIs, automação, testes e análise de dados, deixando R, SAS e contexto bancário como pontos de aprofundamento. A empresa informa que uma entrevista técnica futura será gravada; nenhum teste ou entrevista foi iniciado.</x:v>
      </x:c>
      <x:c r="F121" s="29" t="str">
        <x:v>Concluído</x:v>
      </x:c>
      <x:c r="G121" s="30" t="str">
        <x:v>Acompanhar e-mail e portal. Se houver entrevista técnica gravada, ela deve ser realizada pessoalmente pelo candidato.</x:v>
      </x:c>
    </x:row>
    <x:row r="122">
      <x:c r="A122" s="61" t="str">
        <x:v>02/10/2026</x:v>
      </x:c>
      <x:c r="B122" s="28" t="str">
        <x:v>Catho</x:v>
      </x:c>
      <x:c r="C122" s="28" t="str">
        <x:v>Perfil profissional</x:v>
      </x:c>
      <x:c r="D122" s="28" t="str">
        <x:v>Perfil e experiências atualizados</x:v>
      </x:c>
      <x:c r="E122" s="28" t="str">
        <x:v>O perfil foi alinhado ao currículo mestre: objetivo Desenvolvedor Full Stack, pretensão a partir de R$ 3.000, resumo com Performance Lab/KNOTEN e NOW PRO, competências técnicas atualizadas e duas experiências profissionais descritas com foco full stack.</x:v>
      </x:c>
      <x:c r="F122" s="29" t="str">
        <x:v>Concluído</x:v>
      </x:c>
      <x:c r="G122" s="30" t="str">
        <x:v>O portal confirmou cada atualização. Não refazer testes de habilidade em nome do candidato.</x:v>
      </x:c>
    </x:row>
    <x:row r="123">
      <x:c r="A123" s="61" t="str">
        <x:v>02/10/2026</x:v>
      </x:c>
      <x:c r="B123" s="28" t="str">
        <x:v>Catho</x:v>
      </x:c>
      <x:c r="C123" s="28" t="str">
        <x:v>JETSOFT e MEOSST</x:v>
      </x:c>
      <x:c r="D123" s="28" t="str">
        <x:v>Duas candidaturas confirmadas</x:v>
      </x:c>
      <x:c r="E123" s="28" t="str">
        <x:v>Foram enviadas candidaturas para Desenvolvedor(a) Fullstack CLT híbrido na JETSOFT e Desenvolvedor Full Stack Pleno PJ na MEOSST. Ambas exibiram a confirmação 'CV enviado!'. A JETSOFT tem stack muito aderente; a MEOSST declara salário oficial de R$ 3.500 e aceita base de programação sem domínio de todas as tecnologias.</x:v>
      </x:c>
      <x:c r="F123" s="29" t="str">
        <x:v>Concluído</x:v>
      </x:c>
      <x:c r="G123" s="30" t="str">
        <x:v>Acompanhar e-mail e Catho. Qualquer avaliação ou entrevista deve ser realizada pessoalmente pelo candidato.</x:v>
      </x:c>
    </x:row>
    <x:row r="124">
      <x:c r="A124" s="61" t="str">
        <x:v>02/10/2026</x:v>
      </x:c>
      <x:c r="B124" s="28" t="str">
        <x:v>Catho</x:v>
      </x:c>
      <x:c r="C124" s="28" t="str">
        <x:v>NOVVAX Tecnologia</x:v>
      </x:c>
      <x:c r="D124" s="28" t="str">
        <x:v>Requisito de tempo pendente</x:v>
      </x:c>
      <x:c r="E124" s="28" t="str">
        <x:v>A vaga híbrida PJ a partir de R$ 3.000 foi revisada. O formulário pergunta se o candidato atende ao mínimo de dois anos de atuação full stack; como esse tempo não foi confirmado nas informações disponíveis, a candidatura não foi enviada nem houve resposta inventada.</x:v>
      </x:c>
      <x:c r="F124" s="29" t="str">
        <x:v>Pendente</x:v>
      </x:c>
      <x:c r="G124" s="30" t="str">
        <x:v>Confirmar a duração comprovável de experiência full stack antes de retomar o envio.</x:v>
      </x:c>
    </x:row>
    <x:row r="125">
      <x:c r="A125" s="61" t="str">
        <x:v>02/10/2026</x:v>
      </x:c>
      <x:c r="B125" s="28" t="str">
        <x:v>Catho</x:v>
      </x:c>
      <x:c r="C125" s="28" t="str">
        <x:v>Interação - Soluções Inteligentes em Educação</x:v>
      </x:c>
      <x:c r="D125" s="28" t="str">
        <x:v>Vaga remota revisada; gaps obrigatórios registrados</x:v>
      </x:c>
      <x:c r="E125" s="28" t="str">
        <x:v>A vaga temporária remota de plataforma web gamificada foi avaliada como interessante para IA aplicada, porém exige Node.js, Drizzle ORM, BullMQ/Redis e pnpm workspaces/monorepo como requisitos obrigatórios. A candidatura não foi enviada e nenhum requisito foi afirmado sem evidência.</x:v>
      </x:c>
      <x:c r="F125" s="29" t="str">
        <x:v>Pendente</x:v>
      </x:c>
      <x:c r="G125" s="30" t="str">
        <x:v>Retomar apenas após ganhar prática verificável nessas ferramentas ou se a empresa flexibilizar os requisitos.</x:v>
      </x:c>
    </x:row>
    <x:row r="126">
      <x:c r="A126" s="61" t="str">
        <x:v>02/10/2026</x:v>
      </x:c>
      <x:c r="B126" s="28" t="str">
        <x:v>Gupy</x:v>
      </x:c>
      <x:c r="C126" s="28" t="str">
        <x:v>Neohype Digital - Desenvolvedor Full Stack</x:v>
      </x:c>
      <x:c r="D126" s="28" t="str">
        <x:v>Formulário interrompido por requisitos obrigatórios</x:v>
      </x:c>
      <x:c r="E126" s="28" t="str">
        <x:v>A vaga híbrida foi revisada por ter boa aderência em .NET, React, PostgreSQL, APIs, testes e cloud. Porém, as respostas obrigatórias exigem no mínimo um a dois anos de uso profissional em C#/.NET, React/Angular, SQL Server e RabbitMQ/Hangfire, sem opção para experiência inferior ou inexistente. Nenhuma informação foi inventada e a candidatura não foi enviada.</x:v>
      </x:c>
      <x:c r="F126" s="29" t="str">
        <x:v>Pendente</x:v>
      </x:c>
      <x:c r="G126" s="30" t="str">
        <x:v>Retomar somente se houver experiência verificável nos requisitos ou se a empresa disponibilizar alternativa de resposta.</x:v>
      </x:c>
    </x:row>
    <x:row r="127">
      <x:c r="A127" s="61" t="str">
        <x:v>02/10/2026</x:v>
      </x:c>
      <x:c r="B127" s="28" t="str">
        <x:v>Gupy</x:v>
      </x:c>
      <x:c r="C127" s="28" t="str">
        <x:v>Tokio Marine - Analista de Dados Júnior</x:v>
      </x:c>
      <x:c r="D127" s="28" t="str">
        <x:v>Vaga revalidada como encerrada</x:v>
      </x:c>
      <x:c r="E127" s="28" t="str">
        <x:v>O anúncio oficial de São Paulo híbrido foi aberto para conferência e informava candidaturas encerradas. Nenhuma candidatura foi iniciada. A vaga foi mantida no histórico apenas para registrar a revalidação e orientar monitoramento de oportunidades semelhantes.</x:v>
      </x:c>
      <x:c r="F127" s="29" t="str">
        <x:v>Concluído</x:v>
      </x:c>
      <x:c r="G127" s="30" t="str">
        <x:v>Monitorar novas publicações de dados, ETL e analytics da Tokio Marine.</x:v>
      </x:c>
    </x:row>
    <x:row r="128">
      <x:c r="A128" s="61" t="str">
        <x:v>02/10/2026</x:v>
      </x:c>
      <x:c r="B128" s="28" t="str">
        <x:v>Pandapé / InfoJobs</x:v>
      </x:c>
      <x:c r="C128" s="28" t="str">
        <x:v>SCS Saneamento - Desenvolvedor Full Stack Júnior</x:v>
      </x:c>
      <x:c r="D128" s="28" t="str">
        <x:v>Duplicidade confirmada</x:v>
      </x:c>
      <x:c r="E128" s="28" t="str">
        <x:v>A vaga presencial PJ da Berrini foi revalidada, com salário divulgado de R$ 6.000 a R$ 6.500. Ao informar o e-mail, o Pandapé confirmou que o candidato já participa do processo seletivo; nenhuma candidatura duplicada foi enviada.</x:v>
      </x:c>
      <x:c r="F128" s="29" t="str">
        <x:v>Concluído</x:v>
      </x:c>
      <x:c r="G128" s="30" t="str">
        <x:v>Acompanhar atualizações no e-mail. Kotlin é o principal ponto técnico a aprofundar para a vaga.</x:v>
      </x:c>
    </x:row>
    <x:row r="129">
      <x:c r="A129" s="61" t="str">
        <x:v>02/10/2026</x:v>
      </x:c>
      <x:c r="B129" s="28" t="str">
        <x:v>Indeed</x:v>
      </x:c>
      <x:c r="C129" s="28" t="str">
        <x:v>Black Lion, MOST Specialist Technologies e Juriscont / New Legal</x:v>
      </x:c>
      <x:c r="D129" s="28" t="str">
        <x:v>Três oportunidades com piso salarial revalidado por pesquisa</x:v>
      </x:c>
      <x:c r="E129" s="28" t="str">
        <x:v>Foram priorizadas uma vaga fintech híbrida de full stack júnior por R$ 3.000, uma oportunidade remota de hiperautomação/Python por R$ 4.000 e uma vaga CLT de full stack na Berrini por R$ 4.000 a R$ 5.500. A abertura pelo Indeed nesta sessão levou à tela de verificação Cloudflare; nenhuma automação de proteção foi tentada e nenhuma candidatura foi enviada.</x:v>
      </x:c>
      <x:c r="F129" s="29" t="str">
        <x:v>Pendente</x:v>
      </x:c>
      <x:c r="G129" s="30" t="str">
        <x:v>Retomar via rota oficial, alertas de e-mail ou acesso humano ao Indeed; qualquer desafio técnico posterior deve ser feito pessoalmente pelo candidato.</x:v>
      </x:c>
    </x:row>
    <x:row r="130">
      <x:c r="A130" s="61" t="str">
        <x:v>02/10/2026</x:v>
      </x:c>
      <x:c r="B130" s="28" t="str">
        <x:v>Recrut.AI / Datum</x:v>
      </x:c>
      <x:c r="C130" s="28" t="str">
        <x:v>Pessoa Desenvolvedora Java Júnior (NextGen)</x:v>
      </x:c>
      <x:c r="D130" s="28" t="str">
        <x:v>Vaga revalidada; formulário preparado</x:v>
      </x:c>
      <x:c r="E130" s="28" t="str">
        <x:v>A vaga híbrida na Zona Sul está ativa e aceita pessoa em início de carreira com conhecimento em Java; experiência de um ano é desejável, não obrigatória. O formulário exige currículo por upload local e CEP real, por isso não foi enviado sem esses itens.</x:v>
      </x:c>
      <x:c r="F130" s="29" t="str">
        <x:v>Pendente</x:v>
      </x:c>
      <x:c r="G130" s="30" t="str">
        <x:v>Anexar o currículo mestre e preencher o CEP no formulário aberto antes de enviar.</x:v>
      </x:c>
    </x:row>
    <x:row r="131">
      <x:c r="A131" s="61" t="str">
        <x:v>02/10/2026</x:v>
      </x:c>
      <x:c r="B131" s="28" t="str">
        <x:v>MOST Specialist Technologies</x:v>
      </x:c>
      <x:c r="C131" s="28" t="str">
        <x:v>Full Stack Developer (Python) - Hiperautomação</x:v>
      </x:c>
      <x:c r="D131" s="28" t="str">
        <x:v>Formulário oficial revisado</x:v>
      </x:c>
      <x:c r="E131" s="28" t="str">
        <x:v>A rota oficial confirmou home office e estágio de seis horas com bolsa de R$ 4.000. O formulário exige upload do currículo e uma matriz obrigatória que força escolha de nível para Django, multithread e MongoDB, sem alternativa para ausência de experiência. A candidatura não foi enviada para não declarar vivência inexistente.</x:v>
      </x:c>
      <x:c r="F131" s="29" t="str">
        <x:v>Pendente</x:v>
      </x:c>
      <x:c r="G131" s="30" t="str">
        <x:v>Retomar somente se o formulário permitir respostas factuais ou se houver experiência verificável nos itens exigidos. Qualquer desafio técnico e avaliação psicológica devem ser realizados pessoalmente.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45836b5406a942fc"/>
  </x:tableParts>
</x:worksheet>
</file>