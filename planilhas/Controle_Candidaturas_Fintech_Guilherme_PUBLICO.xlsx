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0df646ba448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a95f308f7d8e4e8a"/>
    <x:sheet xmlns:r="http://schemas.openxmlformats.org/officeDocument/2006/relationships" name="Log de auditoria" sheetId="2" r:id="R6c0f24fa49794a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edd9670c7a4cf2" /><Relationship Type="http://schemas.openxmlformats.org/officeDocument/2006/relationships/theme" Target="/xl/theme/theme1.xml" Id="R9293d795694d4a8a" /><Relationship Type="http://schemas.openxmlformats.org/officeDocument/2006/relationships/sharedStrings" Target="/xl/sharedStrings.xml" Id="Rb01908be6b184de7" /><Relationship Type="http://schemas.openxmlformats.org/officeDocument/2006/relationships/worksheet" Target="/xl/worksheets/sheet1.xml" Id="Ra95f308f7d8e4e8a" /><Relationship Type="http://schemas.openxmlformats.org/officeDocument/2006/relationships/worksheet" Target="/xl/worksheets/sheet2.xml" Id="R6c0f24fa49794ab9" /></Relationships>
</file>

<file path=xl/tables/table1.xml><?xml version="1.0" encoding="utf-8"?>
<x:table xmlns:x="http://schemas.openxmlformats.org/spreadsheetml/2006/main" id="1" name="CandidaturasTable" displayName="CandidaturasTable" ref="A9:K108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4a3520c9004c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c7faf60f38946a3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21/09/2026.</x:v>
      </x:c>
    </x:row>
    <x:row r="5">
      <x:c r="A5" s="5" t="str">
        <x:v>Regra salarial</x:v>
      </x:c>
      <x:c r="B5" s="6" t="str">
        <x:v>R$ 4.000</x:v>
      </x:c>
      <x:c r="C5" s="6" t="str">
        <x:v>Escopo</x:v>
      </x:c>
      <x:c r="D5" s="6" t="str">
        <x:v>Sem comercial, suporte ou QA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SUM(L10:L108)</x:f>
        <x:v>62</x:v>
      </x:c>
      <x:c r="C7" s="8"/>
      <x:c r="D7" s="8" t="str">
        <x:v>Itens em controle</x:v>
      </x:c>
      <x:c r="E7" s="9" t="n">
        <x:f>COUNTA(A10:A108)</x:f>
        <x:v>99</x:v>
      </x:c>
      <x:c r="F7" s="8"/>
      <x:c r="G7" s="8" t="str">
        <x:v>Pendentes</x:v>
      </x:c>
      <x:c r="H7" s="9" t="n">
        <x:f>SUM(M10:M108)</x:f>
        <x:v>31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https://jobs.ashbyhq.com/enter-ai/09fb5102-783f-42d4-95a5-0c294ea5c1a4/application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Pendente — dados cadastrais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Aguardar órgão/UF emissor do RG, nome completo do pai e naturalidade; então preencher, personalizar, revisar e pedir confirmação final</x:v>
      </x:c>
      <x:c r="I57" s="19" t="str">
        <x:v>21/09/2026</x:v>
      </x:c>
      <x:c r="J57" s="18" t="str">
        <x:v>Formulário retomado em 21/09. As respostas factuais de não indicação e de não vínculo com a UOL foram salvas. RG, órgão/UF emissor, mãe, pai, naturalidade e pretensão são campos eliminatórios; faltam órgão/UF emissor, nome completo do pai e cidade/UF de nascimento. Boa aderência em TypeScript, React, APIs, Git, banco de dados, Docker, testes e CI/CD; sem alegar Node/NestJS ou AWS.</x:v>
      </x:c>
      <x:c r="K57" s="24" t="str">
        <x:v>E-mail recebido — dados pendentes 21/09</x:v>
      </x:c>
      <x:c r="L57" t="n">
        <x:f>IF(LEFT(K57,3)="Sim",1,0)+IF(LEFT(K57,6)="Portal",1,0)</x:f>
        <x:v>0</x:v>
      </x:c>
      <x:c r="M57" t="n">
        <x:f>IF(LEFT(A57,8)="Pendente",1,0)</x:f>
        <x:v>1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Sem audiovisual declarado</x:v>
      </x:c>
      <x:c r="H88" s="18" t="str">
        <x:v>Acompanhar e-mail; validar formato de cada próxima etapa antes de iniciar</x:v>
      </x:c>
      <x:c r="I88" s="19" t="str">
        <x:v>21/09/2026</x:v>
      </x:c>
      <x:c r="J88" s="18" t="str">
        <x:v>Candidatura personalizada enviada e confirmada pela Gupy em 21/09. A apresentação destaca projetos próprios em Python, APIs, SQL e IA aplicada; foram selecionadas SQL, API REST e Python. A vaga aceita superior em andamento, inglês intermediário, Python/Java básico e projeto acadêmico de IA.</x:v>
      </x:c>
      <x:c r="K88" s="24" t="str">
        <x:v>Sim — confirmação Gupy 21/09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validar vaga Indeed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presencial)</x:v>
      </x:c>
      <x:c r="F91" s="16" t="str">
        <x:v>https://br.indeed.com/viewjob?jk=98039e0bd9a2fb44</x:v>
      </x:c>
      <x:c r="G91" s="18" t="str">
        <x:v>Sem audiovisual declarado</x:v>
      </x:c>
      <x:c r="H91" s="18" t="str">
        <x:v>Revalidar anúncio, salário e formulário antes de personalizar; só avançar se a vaga ainda estiver ativa</x:v>
      </x:c>
      <x:c r="I91" s="19" t="str">
        <x:v>20/09/2026</x:v>
      </x:c>
      <x:c r="J91" s="18" t="str">
        <x:v>Pesquisa Indeed: aderência forte em fintech, TypeScript/JavaScript, APIs REST e Git. Node.js, MySQL, NestJS, React Native, Redis e JWT são pontos de estudo, não experiências a alegar. Salário não divulgado.</x:v>
      </x:c>
      <x:c r="K91" s="24" t="str">
        <x:v>Não aplicável — não enviada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>
      <x:c r="A109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</x:row>
  </x:sheetData>
  <x:mergeCells>
    <x:mergeCell ref="A109:K109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4a4a3520c9004c25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6c7faf60f38946a3"/>
  </x:tableParts>
</x:worksheet>
</file>