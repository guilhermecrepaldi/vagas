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44068f5b8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uras" sheetId="1" r:id="Rf7b189578f7340fa"/>
    <x:sheet xmlns:r="http://schemas.openxmlformats.org/officeDocument/2006/relationships" name="Log de auditoria" sheetId="2" r:id="R874c49269375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6"/>
      <x:color rgb="FF1F2937"/>
      <x:name val="Arial"/>
    </x:font>
    <x:font>
      <x:i/>
      <x:sz val="10"/>
      <x:color rgb="FF64748B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  <x:font>
      <x:i/>
      <x:sz val="9"/>
      <x:color rgb="FF64748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12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/>
    </x:xf>
    <x:xf numFmtId="0" fontId="5" fillId="3" borderId="5" xfId="0" applyNumberFormat="1" applyFont="1" applyFill="1" applyBorder="1" applyAlignment="1">
      <x:alignment horizontal="center" vertical="center"/>
    </x:xf>
    <x:xf numFmtId="0" fontId="5" fillId="3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horizontal="center"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6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i/>
        <x:color rgb="FF4B5563"/>
      </x:font>
      <x:fill>
        <x:patternFill>
          <x:bgColor rgb="FFE5E7EB"/>
        </x:patternFill>
      </x:fill>
    </x:dxf>
    <x:dxf>
      <x:font>
        <x:i/>
        <x:color rgb="FF4B5563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1D4ED8"/>
      </x:font>
      <x:fill>
        <x:patternFill>
          <x:bgColor rgb="FFDBEAFE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i/>
        <x:color rgb="FF4B5563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i/>
        <x:color rgb="FF4B5563"/>
      </x:font>
      <x:fill>
        <x:patternFill>
          <x:bgColor rgb="FFE5E7EB"/>
        </x:patternFill>
      </x:fill>
    </x:dxf>
    <x:dxf>
      <x:font>
        <x:i/>
        <x:color rgb="FF4B5563"/>
      </x:font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4a748f40f44fa" /><Relationship Type="http://schemas.openxmlformats.org/officeDocument/2006/relationships/theme" Target="/xl/theme/theme1.xml" Id="R9654041cb01744ba" /><Relationship Type="http://schemas.openxmlformats.org/officeDocument/2006/relationships/sharedStrings" Target="/xl/sharedStrings.xml" Id="R5c1d0568abda4a91" /><Relationship Type="http://schemas.openxmlformats.org/officeDocument/2006/relationships/worksheet" Target="/xl/worksheets/sheet1.xml" Id="Rf7b189578f7340fa" /><Relationship Type="http://schemas.openxmlformats.org/officeDocument/2006/relationships/worksheet" Target="/xl/worksheets/sheet2.xml" Id="R874c492693754c94" /></Relationships>
</file>

<file path=xl/tables/table1.xml><?xml version="1.0" encoding="utf-8"?>
<x:table xmlns:x="http://schemas.openxmlformats.org/spreadsheetml/2006/main" id="1" name="CandidaturasTable" displayName="CandidaturasTable" ref="A9:K199" headerRowCount="1" totalsRowCount="0" totalsRowShown="0">
  <x:tableColumns count="11">
    <x:tableColumn id="1" name="Status"/>
    <x:tableColumn id="2" name="Empresa"/>
    <x:tableColumn id="3" name="Vaga"/>
    <x:tableColumn id="4" name="Trilha"/>
    <x:tableColumn id="5" name="Modelo/local"/>
    <x:tableColumn id="6" name="Link"/>
    <x:tableColumn id="7" name="IA / gravação"/>
    <x:tableColumn id="8" name="Próxima ação"/>
    <x:tableColumn id="9" name="Atualizado"/>
    <x:tableColumn id="10" name="Observações"/>
    <x:tableColumn id="11" name="E-mail confirm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oriaTable" displayName="AuditoriaTable" ref="A5:G59" headerRowCount="1" totalsRowCount="0" totalsRowShown="0">
  <x:tableColumns count="7">
    <x:tableColumn id="1" name="Data"/>
    <x:tableColumn id="2" name="Fonte"/>
    <x:tableColumn id="3" name="Processo / vaga"/>
    <x:tableColumn id="4" name="Ação"/>
    <x:tableColumn id="5" name="Resultado"/>
    <x:tableColumn id="6" name="Status"/>
    <x:tableColumn id="7" name="Próximo passo / 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17179dcfa744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a88267d8be47d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42" hidden="0" customWidth="1"/>
    <x:col min="4" max="4" width="25" hidden="0" customWidth="1"/>
    <x:col min="5" max="5" width="30" hidden="0" customWidth="1"/>
    <x:col min="6" max="6" width="55" hidden="0" customWidth="1"/>
    <x:col min="7" max="7" width="28" hidden="0" customWidth="1"/>
    <x:col min="8" max="8" width="46" hidden="0" customWidth="1"/>
    <x:col min="9" max="9" width="14" hidden="0" customWidth="1"/>
    <x:col min="10" max="10" width="45" hidden="0" customWidth="1"/>
    <x:col min="11" max="11" width="30" hidden="0" customWidth="1"/>
    <x:col min="12" max="12" width="0" hidden="0" customWidth="1"/>
    <x:col min="13" max="13" width="0" hidden="0" customWidth="1"/>
  </x:cols>
  <x:sheetData>
    <x:row r="2" ht="26" customHeight="1">
      <x:c r="A2" s="1" t="str">
        <x:v>Candidaturas em foco</x:v>
      </x:c>
    </x:row>
    <x:row r="3">
      <x:c r="A3" s="2" t="str">
        <x:v>Tecnologia, dados, IA, operações técnicas e negócios técnicos. Versão pública: dados pessoais e links privados removidos. Fonte atualizada em 03/10/2026.</x:v>
      </x:c>
      <x:c r="B3" t="str">
        <x:v>Tecnologia, dados, IA, operações técnicas e negócios técnicos. Currículo mestre e ciclo de candidaturas atualizados em 03/10/2026.</x:v>
      </x:c>
    </x:row>
    <x:row r="5">
      <x:c r="A5" s="5" t="str">
        <x:v>Regra salarial</x:v>
      </x:c>
      <x:c r="B5" s="6" t="str">
        <x:v>R$ 3.000 (Indeed atual)</x:v>
      </x:c>
      <x:c r="C5" s="6" t="str">
        <x:v>Escopo</x:v>
      </x:c>
      <x:c r="D5" s="6" t="str">
        <x:v>Sem comercial, suporte, QA ou vagas sênior; pleno só se requisitos forem compatíveis com júnior</x:v>
      </x:c>
      <x:c r="E5" s="6" t="str">
        <x:v>Disponibilidade</x:v>
      </x:c>
      <x:c r="F5" s="6" t="str">
        <x:v>Imediata e com mudança</x:v>
      </x:c>
      <x:c r="G5" s="6" t="str">
        <x:v>Consentimento IA</x:v>
      </x:c>
      <x:c r="H5" s="7" t="str">
        <x:v>Triagem aceita; áudio/vídeo não</x:v>
      </x:c>
    </x:row>
    <x:row r="7">
      <x:c r="A7" s="8" t="str">
        <x:v>Candidaturas confirmadas</x:v>
      </x:c>
      <x:c r="B7" s="9" t="n">
        <x:f>SUM(L10:L199)</x:f>
        <x:v>97</x:v>
      </x:c>
      <x:c r="C7" s="8"/>
      <x:c r="D7" s="8" t="str">
        <x:v>Itens em controle</x:v>
      </x:c>
      <x:c r="E7" s="9" t="n">
        <x:f>COUNTA(A10:A199)</x:f>
        <x:v>190</x:v>
      </x:c>
      <x:c r="F7" s="8"/>
      <x:c r="G7" s="8" t="str">
        <x:v>Pendentes</x:v>
      </x:c>
      <x:c r="H7" s="9" t="n">
        <x:f>SUM(M10:M199)</x:f>
        <x:v>83</x:v>
      </x:c>
    </x:row>
    <x:row r="9" ht="28" customHeight="1">
      <x:c r="A9" s="20" t="str">
        <x:v>Status</x:v>
      </x:c>
      <x:c r="B9" s="21" t="str">
        <x:v>Empresa</x:v>
      </x:c>
      <x:c r="C9" s="21" t="str">
        <x:v>Vaga</x:v>
      </x:c>
      <x:c r="D9" s="21" t="str">
        <x:v>Trilha</x:v>
      </x:c>
      <x:c r="E9" s="21" t="str">
        <x:v>Modelo/local</x:v>
      </x:c>
      <x:c r="F9" s="21" t="str">
        <x:v>Link</x:v>
      </x:c>
      <x:c r="G9" s="21" t="str">
        <x:v>IA / gravação</x:v>
      </x:c>
      <x:c r="H9" s="21" t="str">
        <x:v>Próxima ação</x:v>
      </x:c>
      <x:c r="I9" s="21" t="str">
        <x:v>Atualizado</x:v>
      </x:c>
      <x:c r="J9" s="21" t="str">
        <x:v>Observações</x:v>
      </x:c>
      <x:c r="K9" s="22" t="str">
        <x:v>E-mail confirmado</x:v>
      </x:c>
    </x:row>
    <x:row r="10" ht="60" customHeight="1">
      <x:c r="A10" s="23" t="str">
        <x:v>Pendente — teste PI</x:v>
      </x:c>
      <x:c r="B10" s="15" t="str">
        <x:v>XP Inc.</x:v>
      </x:c>
      <x:c r="C10" s="15" t="str">
        <x:v>Engenheiro(a) de Software | Assistente e Júnior</x:v>
      </x:c>
      <x:c r="D10" s="15" t="str">
        <x:v>Desenvolvimento</x:v>
      </x:c>
      <x:c r="E10" s="15" t="str">
        <x:v>São Paulo, presencial flexível</x:v>
      </x:c>
      <x:c r="F10" s="16" t="str">
        <x:v>https://job-boards.greenhouse.io/xpinc/jobs/8023579002</x:v>
      </x:c>
      <x:c r="G10" s="18" t="str">
        <x:v>Sem audiovisual declarado</x:v>
      </x:c>
      <x:c r="H10" s="18" t="str">
        <x:v>Aguardar link do Predictive Index e ler regras antes de iniciar</x:v>
      </x:c>
      <x:c r="I10" s="19" t="str">
        <x:v>18/09/2026</x:v>
      </x:c>
      <x:c r="J10" s="18" t="str">
        <x:v>Candidatura confirmada. E-mail de 18/09 informa teste cognitivo PI com prazo de 72h; o link separado do Predictive Index não foi localizado na caixa de entrada nem no spam.</x:v>
      </x:c>
      <x:c r="K10" s="24" t="str">
        <x:v>Sim — recibo e teste 18/09</x:v>
      </x:c>
      <x:c r="L10" t="n">
        <x:f>IF(LEFT(K10,3)="Sim",1,0)+IF(LEFT(K10,6)="Portal",1,0)</x:f>
        <x:v>1</x:v>
      </x:c>
      <x:c r="M10" t="n">
        <x:f>IF(LEFT(A10,8)="Pendente",1,0)</x:f>
        <x:v>1</x:v>
      </x:c>
    </x:row>
    <x:row r="11" ht="60" customHeight="1">
      <x:c r="A11" s="23" t="str">
        <x:v>Pendente — teste PI</x:v>
      </x:c>
      <x:c r="B11" s="15" t="str">
        <x:v>XP Inc.</x:v>
      </x:c>
      <x:c r="C11" s="15" t="str">
        <x:v>Engenheiro(a) de Dados Júnior</x:v>
      </x:c>
      <x:c r="D11" s="15" t="str">
        <x:v>Dados e IA</x:v>
      </x:c>
      <x:c r="E11" s="15" t="str">
        <x:v>São Paulo, presencial flexível</x:v>
      </x:c>
      <x:c r="F11" s="16" t="str">
        <x:v>https://job-boards.greenhouse.io/xpinc/jobs/8727086002</x:v>
      </x:c>
      <x:c r="G11" s="18" t="str">
        <x:v>Sem audiovisual declarado</x:v>
      </x:c>
      <x:c r="H11" s="18" t="str">
        <x:v>Aguardar link do Predictive Index e ler regras antes de iniciar</x:v>
      </x:c>
      <x:c r="I11" s="19" t="str">
        <x:v>18/09/2026</x:v>
      </x:c>
      <x:c r="J11" s="18" t="str">
        <x:v>Candidatura confirmada. E-mail de 18/09 informa teste cognitivo PI com prazo de 72h; o link separado do Predictive Index não foi localizado na caixa de entrada nem no spam.</x:v>
      </x:c>
      <x:c r="K11" s="24" t="str">
        <x:v>Sim — recibo e teste 18/09</x:v>
      </x:c>
      <x:c r="L11" t="n">
        <x:f>IF(LEFT(K11,3)="Sim",1,0)+IF(LEFT(K11,6)="Portal",1,0)</x:f>
        <x:v>1</x:v>
      </x:c>
      <x:c r="M11" t="n">
        <x:f>IF(LEFT(A11,8)="Pendente",1,0)</x:f>
        <x:v>1</x:v>
      </x:c>
    </x:row>
    <x:row r="12" ht="60" customHeight="1">
      <x:c r="A12" s="23" t="str">
        <x:v>Enviada</x:v>
      </x:c>
      <x:c r="B12" s="15" t="str">
        <x:v>Banco Sofisa</x:v>
      </x:c>
      <x:c r="C12" s="15" t="str">
        <x:v>Analista de Arranjos de Pagamento Júnior</x:v>
      </x:c>
      <x:c r="D12" s="15" t="str">
        <x:v>Operações técnicas</x:v>
      </x:c>
      <x:c r="E12" s="15" t="str">
        <x:v>São Paulo, híbrido</x:v>
      </x:c>
      <x:c r="F12" s="16" t="str">
        <x:v>https://bancosofisa.gupy.io/jobs/12417144?jobBoardSource=gupy_portal</x:v>
      </x:c>
      <x:c r="G12" s="18" t="str">
        <x:v>Não informado</x:v>
      </x:c>
      <x:c r="H12" s="18" t="str">
        <x:v>Acompanhar candidatura</x:v>
      </x:c>
      <x:c r="I12" s="19" t="str">
        <x:v>18/09/2026</x:v>
      </x:c>
      <x:c r="J12" s="18" t="str">
        <x:v>Enviada anteriormente</x:v>
      </x:c>
      <x:c r="K12" s="24" t="str">
        <x:v>Não localizado — auditoria 19/09</x:v>
      </x:c>
      <x:c r="L12" t="n">
        <x:f>IF(LEFT(K12,3)="Sim",1,0)+IF(LEFT(K12,6)="Portal",1,0)</x:f>
        <x:v>0</x:v>
      </x:c>
      <x:c r="M12" t="n">
        <x:f>IF(LEFT(A12,8)="Pendente",1,0)</x:f>
        <x:v>0</x:v>
      </x:c>
    </x:row>
    <x:row r="13" ht="98" customHeight="1">
      <x:c r="A13" s="23" t="str">
        <x:v>Pendente — decisão de envio</x:v>
      </x:c>
      <x:c r="B13" s="15" t="str">
        <x:v>Banco Daycoval</x:v>
      </x:c>
      <x:c r="C13" s="15" t="str">
        <x:v>Analista de Operações Bancárias Júnior — Controle e Liquidação</x:v>
      </x:c>
      <x:c r="D13" s="15" t="str">
        <x:v>Operações bancárias</x:v>
      </x:c>
      <x:c r="E13" s="15" t="str">
        <x:v>São Paulo/SP, Paulista (modelo não informado)</x:v>
      </x:c>
      <x:c r="F13" s="16" t="str">
        <x:v>Acessar na plataforma (link privado removido)</x:v>
      </x:c>
      <x:c r="G13" s="18" t="str">
        <x:v>Sem audiovisual declarado</x:v>
      </x:c>
      <x:c r="H13" s="18" t="str">
        <x:v>Revisar a resposta pré-existente de Excel marcada como básico; decidir se envia com esse registro antes da confirmação final</x:v>
      </x:c>
      <x:c r="I13" s="19" t="str">
        <x:v>21/09/2026</x:v>
      </x:c>
      <x:c r="J13" s="18" t="str">
        <x:v>Rascunho retomado e personalizado em 21/09. A apresentação contextualiza ADS, projetos próprios com Python/SQL/APIs e a experiência anterior como representante comercial na Falcon, sem a apresentar como experiência de TI. As perguntas obrigatórias já estavam salvas e bloqueadas para edição: disponibilidade na Paulista, resposta de Excel como básico, cálculos financeiros, ausência de experiência bancária e pretensão de R$5.000 CLT negociável. A resposta de Excel conflita com a atualização posterior de que o nível é avançado; não enviar sem decisão consciente.</x:v>
      </x:c>
      <x:c r="K13" s="24" t="str">
        <x:v>Não aplicável — não enviada</x:v>
      </x:c>
      <x:c r="L13" t="n">
        <x:f>IF(LEFT(K13,3)="Sim",1,0)+IF(LEFT(K13,6)="Portal",1,0)</x:f>
        <x:v>0</x:v>
      </x:c>
      <x:c r="M13" t="n">
        <x:f>IF(LEFT(A13,8)="Pendente",1,0)</x:f>
        <x:v>1</x:v>
      </x:c>
    </x:row>
    <x:row r="14" ht="60" customHeight="1">
      <x:c r="A14" s="23" t="str">
        <x:v>Enviada</x:v>
      </x:c>
      <x:c r="B14" s="15" t="str">
        <x:v>C6 Bank</x:v>
      </x:c>
      <x:c r="C14" s="15" t="str">
        <x:v>Analista de Operações Júnior | Monitoração Python</x:v>
      </x:c>
      <x:c r="D14" s="15" t="str">
        <x:v>Automação, monitoração e dados</x:v>
      </x:c>
      <x:c r="E14" s="15" t="str">
        <x:v>São Paulo/SP; presencial</x:v>
      </x:c>
      <x:c r="F14" s="16" t="str">
        <x:v>https://job-boards.greenhouse.io/c6bank/jobs/4712934005</x:v>
      </x:c>
      <x:c r="G14" s="18" t="str">
        <x:v>Nenhuma avaliação iniciada; acompanhar e-mail e MyGreenhouse</x:v>
      </x:c>
      <x:c r="H14" s="18" t="str">
        <x:v>Acompanhar e-mail e MyGreenhouse. Se houver avaliação, entrevista ou teste, realizar pessoalmente.</x:v>
      </x:c>
      <x:c r="I14" s="19" t="str">
        <x:v>03/10/2026</x:v>
      </x:c>
      <x:c r="J14" s="18" t="str">
        <x:v>Candidatura confirmada no Greenhouse com currículo e apresentação adaptados. Foram declarados Python e SQL em nível intermediário, além de automação, monitoração, APIs e experiência full stack factual.</x:v>
      </x:c>
      <x:c r="K14" s="24" t="str">
        <x:v>Sim — confirmação Greenhouse 03/10</x:v>
      </x:c>
      <x:c r="L14" t="n">
        <x:f>IF(LEFT(K14,3)="Sim",1,0)+IF(LEFT(K14,6)="Portal",1,0)</x:f>
        <x:v>1</x:v>
      </x:c>
      <x:c r="M14" t="n">
        <x:f>IF(LEFT(A14,8)="Pendente",1,0)</x:f>
        <x:v>0</x:v>
      </x:c>
    </x:row>
    <x:row r="15" ht="60" customHeight="1">
      <x:c r="A15" s="23" t="str">
        <x:v>Enviada</x:v>
      </x:c>
      <x:c r="B15" s="15" t="str">
        <x:v>C6 Bank</x:v>
      </x:c>
      <x:c r="C15" s="15" t="str">
        <x:v>Vem Ser CSixer | Banco de Talentos</x:v>
      </x:c>
      <x:c r="D15" s="15" t="str">
        <x:v>Operações técnicas</x:v>
      </x:c>
      <x:c r="E15" s="15" t="str">
        <x:v>São Paulo</x:v>
      </x:c>
      <x:c r="F15" s="16" t="str">
        <x:v>https://job-boards.greenhouse.io/c6bank/jobs/4087343005</x:v>
      </x:c>
      <x:c r="G15" s="18" t="str">
        <x:v>Não informado</x:v>
      </x:c>
      <x:c r="H15" s="18" t="str">
        <x:v>Acompanhar via MyGreenhouse</x:v>
      </x:c>
      <x:c r="I15" s="19" t="str">
        <x:v>18/09/2026</x:v>
      </x:c>
      <x:c r="J15" s="18" t="str">
        <x:v>Candidatura confirmada; área selecionada: Operações</x:v>
      </x:c>
      <x:c r="K15" s="24" t="str">
        <x:v>Não localizado — auditoria 19/09</x:v>
      </x:c>
      <x:c r="L15" t="n">
        <x:f>IF(LEFT(K15,3)="Sim",1,0)+IF(LEFT(K15,6)="Portal",1,0)</x:f>
        <x:v>0</x:v>
      </x:c>
      <x:c r="M15" t="n">
        <x:f>IF(LEFT(A15,8)="Pendente",1,0)</x:f>
        <x:v>0</x:v>
      </x:c>
    </x:row>
    <x:row r="16" ht="60" customHeight="1">
      <x:c r="A16" s="23" t="str">
        <x:v>Enviada</x:v>
      </x:c>
      <x:c r="B16" s="15" t="str">
        <x:v>BTG Pactual</x:v>
      </x:c>
      <x:c r="C16" s="15" t="str">
        <x:v>Desenvolvedor(a) Backend Júnior/Pleno – IT BSM</x:v>
      </x:c>
      <x:c r="D16" s="15" t="str">
        <x:v>Desenvolvimento</x:v>
      </x:c>
      <x:c r="E16" s="15" t="str">
        <x:v>São Paulo, presencial</x:v>
      </x:c>
      <x:c r="F16" s="16" t="str">
        <x:v>https://carreiras.btgpactual.com/vagas/tech-development/desenvolvedor-a-backend-junior-pleno-%E2%80%93-it-bsm/5781008004</x:v>
      </x:c>
      <x:c r="G16" s="18" t="str">
        <x:v>Não informado</x:v>
      </x:c>
      <x:c r="H16" s="18" t="str">
        <x:v>Acompanhar candidatura</x:v>
      </x:c>
      <x:c r="I16" s="19" t="str">
        <x:v>18/09/2026</x:v>
      </x:c>
      <x:c r="J16" s="18" t="str">
        <x:v>Candidatura confirmada como júnior; ADS em andamento, C#/.NET e SQL</x:v>
      </x:c>
      <x:c r="K16" s="24" t="str">
        <x:v>Sim — recibo genérico 18/09</x:v>
      </x:c>
      <x:c r="L16" t="n">
        <x:f>IF(LEFT(K16,3)="Sim",1,0)+IF(LEFT(K16,6)="Portal",1,0)</x:f>
        <x:v>1</x:v>
      </x:c>
      <x:c r="M16" t="n">
        <x:f>IF(LEFT(A16,8)="Pendente",1,0)</x:f>
        <x:v>0</x:v>
      </x:c>
    </x:row>
    <x:row r="17" ht="60" customHeight="1">
      <x:c r="A17" s="23" t="str">
        <x:v>Pendente — faixa</x:v>
      </x:c>
      <x:c r="B17" s="15" t="str">
        <x:v>Stone</x:v>
      </x:c>
      <x:c r="C17" s="15" t="str">
        <x:v>Analista Júnior de Políticas de Crédito</x:v>
      </x:c>
      <x:c r="D17" s="15" t="str">
        <x:v>Dados e crédito</x:v>
      </x:c>
      <x:c r="E17" s="15" t="str">
        <x:v>São Paulo, híbrido</x:v>
      </x:c>
      <x:c r="F17" s="16" t="str">
        <x:v>https://job-boards.greenhouse.io/stone/jobs/7827757003</x:v>
      </x:c>
      <x:c r="G17" s="18" t="str">
        <x:v>Não informado</x:v>
      </x:c>
      <x:c r="H17" s="18" t="str">
        <x:v>Escolher outra faixa ou não enviar</x:v>
      </x:c>
      <x:c r="I17" s="19" t="str">
        <x:v>18/09/2026</x:v>
      </x:c>
      <x:c r="J17" s="18" t="str">
        <x:v>Formulário pronto, mas só há opções até R$2 mil ou R$10 mil+; não selecionar faixa falsa. Pesquisa pública indica cerca de R$3,5–5,5 mil para nível júnior, abaixo da opção de R$10 mil+.</x:v>
      </x:c>
      <x:c r="K17" s="24" t="str">
        <x:v>Não aplicável — não enviada</x:v>
      </x:c>
      <x:c r="L17" t="n">
        <x:f>IF(LEFT(K17,3)="Sim",1,0)+IF(LEFT(K17,6)="Portal",1,0)</x:f>
        <x:v>0</x:v>
      </x:c>
      <x:c r="M17" t="n">
        <x:f>IF(LEFT(A17,8)="Pendente",1,0)</x:f>
        <x:v>1</x:v>
      </x:c>
    </x:row>
    <x:row r="18" ht="60" customHeight="1">
      <x:c r="A18" s="23" t="str">
        <x:v>Enviada</x:v>
      </x:c>
      <x:c r="B18" s="15" t="str">
        <x:v>PicPay</x:v>
      </x:c>
      <x:c r="C18" s="15" t="str">
        <x:v>Desenvolvedor Frontend Júnior | Gestão Seller</x:v>
      </x:c>
      <x:c r="D18" s="15" t="str">
        <x:v>Desenvolvimento</x:v>
      </x:c>
      <x:c r="E18" s="15" t="str">
        <x:v>São Paulo, remoto</x:v>
      </x:c>
      <x:c r="F18" s="16" t="str">
        <x:v>https://epdm.fa.la1.oraclecloud.com/hcmUI/CandidateExperience/pt-BR/sites/PicPay/job/11838</x:v>
      </x:c>
      <x:c r="G18" s="18" t="str">
        <x:v>Não informado</x:v>
      </x:c>
      <x:c r="H18" s="18" t="str">
        <x:v>Acompanhar candidatura</x:v>
      </x:c>
      <x:c r="I18" s="19" t="str">
        <x:v>19/09/2026</x:v>
      </x:c>
      <x:c r="J18" s="18" t="str">
        <x:v>Candidatura enviada; currículo premium e GitHub; sem inflar Angular ou Salesforce. Recibo de 18/09 veio de [e-mail removido] e traz o mesmo título da vaga; o corpo não nomeia a empresa, por isso a origem foi registrada como PPay sem criar uma vaga duplicada.</x:v>
      </x:c>
      <x:c r="K18" s="24" t="str">
        <x:v>Sim — recibo PPay 18/09</x:v>
      </x:c>
      <x:c r="L18" t="n">
        <x:f>IF(LEFT(K18,3)="Sim",1,0)+IF(LEFT(K18,6)="Portal",1,0)</x:f>
        <x:v>1</x:v>
      </x:c>
      <x:c r="M18" t="n">
        <x:f>IF(LEFT(A18,8)="Pendente",1,0)</x:f>
        <x:v>0</x:v>
      </x:c>
    </x:row>
    <x:row r="19" ht="60" customHeight="1">
      <x:c r="A19" s="23" t="str">
        <x:v>Enviada</x:v>
      </x:c>
      <x:c r="B19" s="15" t="str">
        <x:v>Sicredi</x:v>
      </x:c>
      <x:c r="C19" s="15" t="str">
        <x:v>Desenvolvedor(a) de Automação e Eficiência Operacional</x:v>
      </x:c>
      <x:c r="D19" s="15" t="str">
        <x:v>Automação e dados</x:v>
      </x:c>
      <x:c r="E19" s="15" t="str">
        <x:v>Porto Alegre/RS, híbrido</x:v>
      </x:c>
      <x:c r="F19" s="16" t="str">
        <x:v>https://sicredi.gupy.io/jobs/12434014?jobBoardSource=gupy_public_page</x:v>
      </x:c>
      <x:c r="G19" s="18" t="str">
        <x:v>Não informado</x:v>
      </x:c>
      <x:c r="H19" s="18" t="str">
        <x:v>Acompanhar candidatura</x:v>
      </x:c>
      <x:c r="I19" s="19" t="str">
        <x:v>18/09/2026</x:v>
      </x:c>
      <x:c r="J19" s="18" t="str">
        <x:v>Candidatura finalizada; disponibilidade para mudança; sem inflar BPM/RPA</x:v>
      </x:c>
      <x:c r="K19" s="24" t="str">
        <x:v>Não localizado — auditoria 19/09</x:v>
      </x:c>
      <x:c r="L19" t="n">
        <x:f>IF(LEFT(K19,3)="Sim",1,0)+IF(LEFT(K19,6)="Portal",1,0)</x:f>
        <x:v>0</x:v>
      </x:c>
      <x:c r="M19" t="n">
        <x:f>IF(LEFT(A19,8)="Pendente",1,0)</x:f>
        <x:v>0</x:v>
      </x:c>
    </x:row>
    <x:row r="20" ht="60" customHeight="1">
      <x:c r="A20" s="23" t="str">
        <x:v>Concluída — teste lógico</x:v>
      </x:c>
      <x:c r="B20" s="15" t="str">
        <x:v>Sicredi</x:v>
      </x:c>
      <x:c r="C20" s="15" t="str">
        <x:v>Assistente de BI — Sede Administrativa</x:v>
      </x:c>
      <x:c r="D20" s="15" t="str">
        <x:v>Dados e BI</x:v>
      </x:c>
      <x:c r="E20" s="15" t="str">
        <x:v>Porto Alegre/RS, híbrido</x:v>
      </x:c>
      <x:c r="F20" s="16" t="str">
        <x:v>Acessar na plataforma (link privado removido)</x:v>
      </x:c>
      <x:c r="G20" s="18" t="str">
        <x:v>Sem audiovisual</x:v>
      </x:c>
      <x:c r="H20" s="18" t="str">
        <x:v>Aguardar Entrevista — Gestão de Pessoas; não iniciar etapa audiovisual</x:v>
      </x:c>
      <x:c r="I20" s="19" t="str">
        <x:v>19/09/2026</x:v>
      </x:c>
      <x:c r="J20" s="18" t="str">
        <x:v>Teste de Raciocínio Lógico concluído em 19/09, sem câmera, microfone, áudio, vídeo ou compartilhamento de tela. A plataforma exibiu resultado de 100/100 e a etapa passou a mostrar ‘Ver’. Próximas fases: Entrevista — Gestão de Pessoas, Avaliação Técnica e Entrevista com Gestor.</x:v>
      </x:c>
      <x:c r="K20" s="24" t="str">
        <x:v>Portal — teste concluído 19/09</x:v>
      </x:c>
      <x:c r="L20" t="n">
        <x:f>IF(LEFT(K20,3)="Sim",1,0)+IF(LEFT(K20,6)="Portal",1,0)</x:f>
        <x:v>1</x:v>
      </x:c>
      <x:c r="M20" t="n">
        <x:f>IF(LEFT(A20,8)="Pendente",1,0)</x:f>
        <x:v>0</x:v>
      </x:c>
    </x:row>
    <x:row r="21" ht="60" customHeight="1">
      <x:c r="A21" s="23" t="str">
        <x:v>Enviada</x:v>
      </x:c>
      <x:c r="B21" s="15" t="str">
        <x:v>Inter</x:v>
      </x:c>
      <x:c r="C21" s="15" t="str">
        <x:v>Financial Operations Analyst I</x:v>
      </x:c>
      <x:c r="D21" s="15" t="str">
        <x:v>Operações financeiras e dados</x:v>
      </x:c>
      <x:c r="E21" s="15" t="str">
        <x:v>São Paulo ou Belo Horizonte</x:v>
      </x:c>
      <x:c r="F21" s="16" t="str">
        <x:v>https://job-boards.greenhouse.io/inter/jobs/4723411005</x:v>
      </x:c>
      <x:c r="G21" s="18" t="str">
        <x:v>Consentimento aceito</x:v>
      </x:c>
      <x:c r="H21" s="18" t="str">
        <x:v>Acompanhar via MyGreenhouse</x:v>
      </x:c>
      <x:c r="I21" s="19" t="str">
        <x:v>18/09/2026</x:v>
      </x:c>
      <x:c r="J21" s="18" t="str">
        <x:v>Candidatura confirmada; transcrição e triagem por IA autorizadas, sem avaliação em áudio ou vídeo. Negociar referência de R$ 7 mil se houver contato.</x:v>
      </x:c>
      <x:c r="K21" s="24" t="str">
        <x:v>Sim — recibos genéricos 18/09</x:v>
      </x:c>
      <x:c r="L21" t="n">
        <x:f>IF(LEFT(K21,3)="Sim",1,0)+IF(LEFT(K21,6)="Portal",1,0)</x:f>
        <x:v>1</x:v>
      </x:c>
      <x:c r="M21" t="n">
        <x:f>IF(LEFT(A21,8)="Pendente",1,0)</x:f>
        <x:v>0</x:v>
      </x:c>
    </x:row>
    <x:row r="22" ht="60" customHeight="1">
      <x:c r="A22" s="23" t="str">
        <x:v>Enviada</x:v>
      </x:c>
      <x:c r="B22" s="15" t="str">
        <x:v>Inter</x:v>
      </x:c>
      <x:c r="C22" s="15" t="str">
        <x:v>Product Operations Analyst I</x:v>
      </x:c>
      <x:c r="D22" s="15" t="str">
        <x:v>Operações técnicas</x:v>
      </x:c>
      <x:c r="E22" s="15" t="str">
        <x:v>São Paulo</x:v>
      </x:c>
      <x:c r="F22" s="16" t="str">
        <x:v>https://job-boards.greenhouse.io/inter/jobs/4732313005</x:v>
      </x:c>
      <x:c r="G22" s="18" t="str">
        <x:v>Consentimento aceito</x:v>
      </x:c>
      <x:c r="H22" s="18" t="str">
        <x:v>Acompanhar via MyGreenhouse</x:v>
      </x:c>
      <x:c r="I22" s="19" t="str">
        <x:v>18/09/2026</x:v>
      </x:c>
      <x:c r="J22" s="18" t="str">
        <x:v>Candidatura confirmada; transcrição e triagem por IA autorizadas, sem avaliação em áudio ou vídeo. Negociar referência de R$ 7,5 mil se houver contato.</x:v>
      </x:c>
      <x:c r="K22" s="24" t="str">
        <x:v>Sim — recibos genéricos 18/09</x:v>
      </x:c>
      <x:c r="L22" t="n">
        <x:f>IF(LEFT(K22,3)="Sim",1,0)+IF(LEFT(K22,6)="Portal",1,0)</x:f>
        <x:v>1</x:v>
      </x:c>
      <x:c r="M22" t="n">
        <x:f>IF(LEFT(A22,8)="Pendente",1,0)</x:f>
        <x:v>0</x:v>
      </x:c>
    </x:row>
    <x:row r="23" ht="60" customHeight="1">
      <x:c r="A23" s="23" t="str">
        <x:v>Concluída — comportamento</x:v>
      </x:c>
      <x:c r="B23" s="15" t="str">
        <x:v>Brasilseg</x:v>
      </x:c>
      <x:c r="C23" s="15" t="str">
        <x:v>Analista de GRC Júnior</x:v>
      </x:c>
      <x:c r="D23" s="15" t="str">
        <x:v>Risco e segurança</x:v>
      </x:c>
      <x:c r="E23" s="15" t="str">
        <x:v>São Paulo</x:v>
      </x:c>
      <x:c r="F23" s="16" t="str">
        <x:v>https://brasilseg.gupy.io/jobs/12479010?jobBoardSource=gupy_public_page</x:v>
      </x:c>
      <x:c r="G23" s="18" t="str">
        <x:v>Sem audiovisual</x:v>
      </x:c>
      <x:c r="H23" s="18" t="str">
        <x:v>Aguardar retorno de RH</x:v>
      </x:c>
      <x:c r="I23" s="19" t="str">
        <x:v>19/09/2026</x:v>
      </x:c>
      <x:c r="J23" s="18" t="str">
        <x:v>Mapeamento comportamental concluído e confirmado pela Gupy em 19/09. Foram 21 rankings textuais de preferências, sem câmera, microfone, vídeo, gravação ou compartilhamento de tela. O portal agora mostra a etapa como concluída (botão Ver); seguem RH, Gestor e Final.</x:v>
      </x:c>
      <x:c r="K23" s="24" t="str">
        <x:v>Portal — comportamento concluído 19/09</x:v>
      </x:c>
      <x:c r="L23" t="n">
        <x:f>IF(LEFT(K23,3)="Sim",1,0)+IF(LEFT(K23,6)="Portal",1,0)</x:f>
        <x:v>1</x:v>
      </x:c>
      <x:c r="M23" t="n">
        <x:f>IF(LEFT(A23,8)="Pendente",1,0)</x:f>
        <x:v>0</x:v>
      </x:c>
    </x:row>
    <x:row r="24" ht="60" customHeight="1">
      <x:c r="A24" s="23" t="str">
        <x:v>Enviada</x:v>
      </x:c>
      <x:c r="B24" s="15" t="str">
        <x:v>Elo</x:v>
      </x:c>
      <x:c r="C24" s="15" t="str">
        <x:v>Analista de Riscos e Controles de Tecnologia Júnior</x:v>
      </x:c>
      <x:c r="D24" s="15" t="str">
        <x:v>Risco e segurança</x:v>
      </x:c>
      <x:c r="E24" s="15" t="str">
        <x:v>Barueri/SP</x:v>
      </x:c>
      <x:c r="F24" s="16" t="str">
        <x:v>https://job-boards.greenhouse.io/elo/jobs/4390582009</x:v>
      </x:c>
      <x:c r="G24" s="18" t="str">
        <x:v>Consentimento aceito</x:v>
      </x:c>
      <x:c r="H24" s="18" t="str">
        <x:v>Acompanhar candidatura</x:v>
      </x:c>
      <x:c r="I24" s="19" t="str">
        <x:v>18/09/2026</x:v>
      </x:c>
      <x:c r="J24" s="18" t="str">
        <x:v>Candidatura confirmada; transcrição e triagem por IA autorizadas, sem avaliação em áudio ou vídeo. Pretensão personalizada: R$ 6 mil CLT, negociável conforme pacote.</x:v>
      </x:c>
      <x:c r="K24" s="24" t="str">
        <x:v>Sim — recibo genérico 18/09</x:v>
      </x:c>
      <x:c r="L24" t="n">
        <x:f>IF(LEFT(K24,3)="Sim",1,0)+IF(LEFT(K24,6)="Portal",1,0)</x:f>
        <x:v>1</x:v>
      </x:c>
      <x:c r="M24" t="n">
        <x:f>IF(LEFT(A24,8)="Pendente",1,0)</x:f>
        <x:v>0</x:v>
      </x:c>
    </x:row>
    <x:row r="25" ht="60" customHeight="1">
      <x:c r="A25" s="23" t="str">
        <x:v>Enviada</x:v>
      </x:c>
      <x:c r="B25" s="15" t="str">
        <x:v>Itaú Unibanco</x:v>
      </x:c>
      <x:c r="C25" s="15" t="str">
        <x:v>Engenharia de Software Backend Java Jr | Custódia de Ativos</x:v>
      </x:c>
      <x:c r="D25" s="15" t="str">
        <x:v>Desenvolvimento</x:v>
      </x:c>
      <x:c r="E25" s="15" t="str">
        <x:v>São Paulo, híbrido</x:v>
      </x:c>
      <x:c r="F25" s="16" t="str">
        <x:v>https://vemproitau.gupy.io/jobs/12422943?jobBoardSource=gupy_opportunities</x:v>
      </x:c>
      <x:c r="G25" s="18" t="str">
        <x:v>Não aplicável</x:v>
      </x:c>
      <x:c r="H25" s="18" t="str">
        <x:v>Acompanhar candidatura e e-mail</x:v>
      </x:c>
      <x:c r="I25" s="19" t="str">
        <x:v>21/09/2026</x:v>
      </x:c>
      <x:c r="J25" s="18" t="str">
        <x:v>Candidatura finalizada e confirmada pela Gupy, com confirmação revista em 21/09. Declarações de compliance foram respondidas de forma factual. A apresentação personalizada destacou APIs REST, SQL e CI/CD, deixou transparente que a experiência prática atual é em projetos/freelances .NET e indicou interesse em evoluir no ecossistema Java. Disponibilidade imediata. Não foi iniciada etapa audiovisual.</x:v>
      </x:c>
      <x:c r="K25" s="24" t="str">
        <x:v>Portal — confirmação Gupy 21/09</x:v>
      </x:c>
      <x:c r="L25" t="n">
        <x:f>IF(LEFT(K25,3)="Sim",1,0)+IF(LEFT(K25,6)="Portal",1,0)</x:f>
        <x:v>1</x:v>
      </x:c>
      <x:c r="M25" t="n">
        <x:f>IF(LEFT(A25,8)="Pendente",1,0)</x:f>
        <x:v>0</x:v>
      </x:c>
    </x:row>
    <x:row r="26" ht="60" customHeight="1">
      <x:c r="A26" s="23" t="str">
        <x:v>Enviada</x:v>
      </x:c>
      <x:c r="B26" s="15" t="str">
        <x:v>Genial Investimentos</x:v>
      </x:c>
      <x:c r="C26" s="15" t="str">
        <x:v>Backend .NET Pleno</x:v>
      </x:c>
      <x:c r="D26" s="15" t="str">
        <x:v>Desenvolvimento</x:v>
      </x:c>
      <x:c r="E26" s="15" t="str">
        <x:v>São Paulo</x:v>
      </x:c>
      <x:c r="F26" s="16" t="str">
        <x:v>https://genial.gupy.io/jobs/12453011?jobBoardSource=gupy_public_page</x:v>
      </x:c>
      <x:c r="G26" s="18" t="str">
        <x:v>Não aplicável</x:v>
      </x:c>
      <x:c r="H26" s="18" t="str">
        <x:v>Acompanhar candidatura e e-mail</x:v>
      </x:c>
      <x:c r="I26" s="19" t="str">
        <x:v>19/09/2026</x:v>
      </x:c>
      <x:c r="J26" s="18" t="str">
        <x:v>Candidatura finalizada e confirmada pela Gupy em 19/09. Dados cadastrais e declarações respondidos de forma factual. Apresentação personalizada em C#/.NET Core, APIs REST e disponibilidade imediata; pretensão informada: R$ 8,5 mil CLT, negociável conforme pacote. Não foi iniciada etapa audiovisual.</x:v>
      </x:c>
      <x:c r="K26" s="24" t="str">
        <x:v>Portal — confirmação Gupy 19/09</x:v>
      </x:c>
      <x:c r="L26" t="n">
        <x:f>IF(LEFT(K26,3)="Sim",1,0)+IF(LEFT(K26,6)="Portal",1,0)</x:f>
        <x:v>1</x:v>
      </x:c>
      <x:c r="M26" t="n">
        <x:f>IF(LEFT(A26,8)="Pendente",1,0)</x:f>
        <x:v>0</x:v>
      </x:c>
    </x:row>
    <x:row r="27" ht="60" customHeight="1">
      <x:c r="A27" s="23" t="str">
        <x:v>Encerrada — requisitos</x:v>
      </x:c>
      <x:c r="B27" s="15" t="str">
        <x:v>Cuattro Live &amp; Digital</x:v>
      </x:c>
      <x:c r="C27" s="15" t="str">
        <x:v>Desenvolvedor(a) de Software Júnior | Full-Stack | Produtos Digitais</x:v>
      </x:c>
      <x:c r="D27" s="15" t="str">
        <x:v>Desenvolvimento</x:v>
      </x:c>
      <x:c r="E27" s="15" t="str">
        <x:v>São Paulo, híbrido</x:v>
      </x:c>
      <x:c r="F27" s="16" t="str">
        <x:v>https://cuattro.gupy.io/jobs/12060018?jobBoardSource=gupy_opportunities</x:v>
      </x:c>
      <x:c r="G27" s="18" t="str">
        <x:v>Não aplicável</x:v>
      </x:c>
      <x:c r="H27" s="18" t="str">
        <x:v>Nenhuma; currículo mantido no banco de talentos</x:v>
      </x:c>
      <x:c r="I27" s="19" t="str">
        <x:v>19/09/2026</x:v>
      </x:c>
      <x:c r="J27" s="18" t="str">
        <x:v>Etapa inicial preenchida com respostas factuais e apresentação personalizada. A empresa encerrou o processo de imediato porque exige experiência prática em Node.js e bancos NoSQL, requisitos que não foram alegados. O currículo permanece disponível no banco de talentos; a aba foi fechada para preservar memória.</x:v>
      </x:c>
      <x:c r="K27" s="24" t="str">
        <x:v>Portal — encerrada por requisitos</x:v>
      </x:c>
      <x:c r="L27" t="n">
        <x:f>IF(LEFT(K27,3)="Sim",1,0)+IF(LEFT(K27,6)="Portal",1,0)</x:f>
        <x:v>1</x:v>
      </x:c>
      <x:c r="M27" t="n">
        <x:f>IF(LEFT(A27,8)="Pendente",1,0)</x:f>
        <x:v>0</x:v>
      </x:c>
    </x:row>
    <x:row r="28" ht="60" customHeight="1">
      <x:c r="A28" s="23" t="str">
        <x:v>Concluída — comportamento; vídeo posterior bloqueado</x:v>
      </x:c>
      <x:c r="B28" s="15" t="str">
        <x:v>Prothera Tecnologia</x:v>
      </x:c>
      <x:c r="C28" s="15" t="str">
        <x:v>Desenvolvedor Full Stack — JR</x:v>
      </x:c>
      <x:c r="D28" s="15" t="str">
        <x:v>Desenvolvimento</x:v>
      </x:c>
      <x:c r="E28" s="15" t="str">
        <x:v>Remoto, efetivo</x:v>
      </x:c>
      <x:c r="F28" s="16" t="str">
        <x:v>Acessar na plataforma (link privado removido)</x:v>
      </x:c>
      <x:c r="G28" s="18" t="str">
        <x:v>Vídeo obrigatório em etapa posterior</x:v>
      </x:c>
      <x:c r="H28" s="18" t="str">
        <x:v>Aguardar retorno; não iniciar Vídeo apresentação</x:v>
      </x:c>
      <x:c r="I28" s="19" t="str">
        <x:v>19/09/2026</x:v>
      </x:c>
      <x:c r="J28" s="18" t="str">
        <x:v>Candidatura finalizada e confirmada pela Gupy em 19/09. O Mapeamento Comportamental foi concluído por reaproveitamento explícito do resultado genuíno já realizado no mesmo dia; a plataforma confirmou ‘Teste reaproveitado com sucesso’. Não houve áudio, vídeo, câmera, microfone ou gravação nesta etapa. O fluxo posterior lista Vídeo apresentação obrigatório, que não será iniciado.</x:v>
      </x:c>
      <x:c r="K28" s="24" t="str">
        <x:v>Portal — comportamento 19/09</x:v>
      </x:c>
      <x:c r="L28" t="n">
        <x:f>IF(LEFT(K28,3)="Sim",1,0)+IF(LEFT(K28,6)="Portal",1,0)</x:f>
        <x:v>1</x:v>
      </x:c>
      <x:c r="M28" t="n">
        <x:f>IF(LEFT(A28,8)="Pendente",1,0)</x:f>
        <x:v>0</x:v>
      </x:c>
    </x:row>
    <x:row r="29" ht="60" customHeight="1">
      <x:c r="A29" s="23" t="str">
        <x:v>Concluída — teste lógico</x:v>
      </x:c>
      <x:c r="B29" s="15" t="str">
        <x:v>Confitec</x:v>
      </x:c>
      <x:c r="C29" s="15" t="str">
        <x:v>Desenvolvedor(a) SQL Server — Júnior</x:v>
      </x:c>
      <x:c r="D29" s="15" t="str">
        <x:v>Desenvolvimento</x:v>
      </x:c>
      <x:c r="E29" s="15" t="str">
        <x:v>Remoto, efetivo</x:v>
      </x:c>
      <x:c r="F29" s="16" t="str">
        <x:v>Acessar na plataforma (link privado removido)</x:v>
      </x:c>
      <x:c r="G29" s="18" t="str">
        <x:v>Sem audiovisual</x:v>
      </x:c>
      <x:c r="H29" s="18" t="str">
        <x:v>Aguardar Entrevista RH; não iniciar teste SQL Server sem revisar regras</x:v>
      </x:c>
      <x:c r="I29" s="19" t="str">
        <x:v>19/09/2026</x:v>
      </x:c>
      <x:c r="J29" s="18" t="str">
        <x:v>Candidatura finalizada e confirmada pela Gupy em 19/09. O Teste de Raciocínio Lógico e Numérico Essencial foi concluído por escrito, sem câmera, microfone, áudio, vídeo ou compartilhamento de tela; a plataforma exibiu resultado de 100/100 e a etapa passou a mostrar ‘Ver’. Mantida transparência: prática em SQL/PostgreSQL, modelagem, migrations, Npgsql/EF Core e APIs .NET, sem alegar experiência profissional em SQL Server ou procedures.</x:v>
      </x:c>
      <x:c r="K29" s="24" t="str">
        <x:v>Portal — teste concluído 19/09</x:v>
      </x:c>
      <x:c r="L29" t="n">
        <x:f>IF(LEFT(K29,3)="Sim",1,0)+IF(LEFT(K29,6)="Portal",1,0)</x:f>
        <x:v>1</x:v>
      </x:c>
      <x:c r="M29" t="n">
        <x:f>IF(LEFT(A29,8)="Pendente",1,0)</x:f>
        <x:v>0</x:v>
      </x:c>
    </x:row>
    <x:row r="30" ht="60" customHeight="1">
      <x:c r="A30" s="23" t="str">
        <x:v>Concluída — comportamento</x:v>
      </x:c>
      <x:c r="B30" s="15" t="str">
        <x:v>Grupo SysMap</x:v>
      </x:c>
      <x:c r="C30" s="15" t="str">
        <x:v>Desenvolvedor Front-end JR</x:v>
      </x:c>
      <x:c r="D30" s="15" t="str">
        <x:v>Desenvolvimento</x:v>
      </x:c>
      <x:c r="E30" s="15" t="str">
        <x:v>Remoto, efetivo</x:v>
      </x:c>
      <x:c r="F30" s="16" t="str">
        <x:v>Acessar na plataforma (link privado removido)</x:v>
      </x:c>
      <x:c r="G30" s="18" t="str">
        <x:v>Sem audiovisual</x:v>
      </x:c>
      <x:c r="H30" s="18" t="str">
        <x:v>Aguardar Entrevista R&amp;S; não iniciar etapas audiovisuais</x:v>
      </x:c>
      <x:c r="I30" s="19" t="str">
        <x:v>19/09/2026</x:v>
      </x:c>
      <x:c r="J30" s="18" t="str">
        <x:v>Candidatura finalizada e confirmada pela Gupy em 19/09. A etapa Mapeamento Comportamental foi liberada e concluída no mesmo dia por reaproveitamento explícito do resultado comportamental já realizado pelo candidato; a plataforma confirmou ‘Teste reaproveitado com sucesso’. Não houve áudio, vídeo, câmera, microfone, gravação ou teste técnico. Seguem Entrevista R&amp;S, Entrevista Técnica, Entrevista com Cliente, Carta Oferta e Final.</x:v>
      </x:c>
      <x:c r="K30" s="24" t="str">
        <x:v>Portal — comportamento concluído 19/09</x:v>
      </x:c>
      <x:c r="L30" t="n">
        <x:f>IF(LEFT(K30,3)="Sim",1,0)+IF(LEFT(K30,6)="Portal",1,0)</x:f>
        <x:v>1</x:v>
      </x:c>
      <x:c r="M30" t="n">
        <x:f>IF(LEFT(A30,8)="Pendente",1,0)</x:f>
        <x:v>0</x:v>
      </x:c>
    </x:row>
    <x:row r="31" ht="60" customHeight="1">
      <x:c r="A31" s="23" t="str">
        <x:v>Excluída — abaixo do piso</x:v>
      </x:c>
      <x:c r="B31" s="15" t="str">
        <x:v>Fundação Itaú</x:v>
      </x:c>
      <x:c r="C31" s="15" t="str">
        <x:v>Estágio em Seguridade</x:v>
      </x:c>
      <x:c r="D31" s="15" t="str">
        <x:v>Dados e automação</x:v>
      </x:c>
      <x:c r="E31" s="15" t="str">
        <x:v>São Paulo</x:v>
      </x:c>
      <x:c r="F31" s="16" t="str">
        <x:v>https://fundacaoitauprevidencia.gupy.io/jobs/12457364?jobBoardSource=gupy_public_page</x:v>
      </x:c>
      <x:c r="G31" s="18" t="str">
        <x:v>Não informado</x:v>
      </x:c>
      <x:c r="H31" s="18" t="str">
        <x:v>Não enviar; bolsa abaixo do piso definido</x:v>
      </x:c>
      <x:c r="I31" s="19" t="str">
        <x:v>18/09/2026</x:v>
      </x:c>
      <x:c r="J31" s="18" t="str">
        <x:v>Pesquisa pública de 2026 aponta bolsa de R$ 2,6 mil + VR; remuneração-base abaixo do piso de R$ 4 mil.</x:v>
      </x:c>
      <x:c r="K31" s="24" t="str">
        <x:v>E-mail recebido — não finalizada</x:v>
      </x:c>
      <x:c r="L31" t="n">
        <x:f>IF(LEFT(K31,3)="Sim",1,0)+IF(LEFT(K31,6)="Portal",1,0)</x:f>
        <x:v>0</x:v>
      </x:c>
      <x:c r="M31" t="n">
        <x:f>IF(LEFT(A31,8)="Pendente",1,0)</x:f>
        <x:v>0</x:v>
      </x:c>
    </x:row>
    <x:row r="32" ht="90" customHeight="1">
      <x:c r="A32" s="23" t="str">
        <x:v>Enviada</x:v>
      </x:c>
      <x:c r="B32" s="15" t="str">
        <x:v>Minsait</x:v>
      </x:c>
      <x:c r="C32" s="15" t="str">
        <x:v>Analista de Dados Júnior</x:v>
      </x:c>
      <x:c r="D32" s="15" t="str">
        <x:v>Dados e IA</x:v>
      </x:c>
      <x:c r="E32" s="15" t="str">
        <x:v>Osasco/SP, híbrido</x:v>
      </x:c>
      <x:c r="F32" s="16" t="str">
        <x:v>Acessar na plataforma (link privado removido)</x:v>
      </x:c>
      <x:c r="G32" s="18" t="str">
        <x:v>Gravação recusada — entrevista técnica</x:v>
      </x:c>
      <x:c r="H32" s="18" t="str">
        <x:v>Acompanhar e-mail; não autorizar nem iniciar entrevista gravada</x:v>
      </x:c>
      <x:c r="I32" s="19" t="str">
        <x:v>21/09/2026</x:v>
      </x:c>
      <x:c r="J32" s="18" t="str">
        <x:v>Candidatura finalizada e confirmada pela Gupy em 21/09. Superior em andamento e vínculo anterior inexistente foram informados de forma factual. Pretensão registrada: R$6.000 CLT, negociável. A apresentação tratou Python, SQL, APIs e automação de forma honesta; R/SAS e dados de grande escala seguem como estudo. O consentimento para entrevista técnica gravada por IA foi marcado como não.</x:v>
      </x:c>
      <x:c r="K32" s="24" t="str">
        <x:v>Portal — confirmação Gupy 21/09; gravação recusada</x:v>
      </x:c>
      <x:c r="L32" t="n">
        <x:f>IF(LEFT(K32,3)="Sim",1,0)+IF(LEFT(K32,6)="Portal",1,0)</x:f>
        <x:v>1</x:v>
      </x:c>
      <x:c r="M32" t="n">
        <x:f>IF(LEFT(A32,8)="Pendente",1,0)</x:f>
        <x:v>0</x:v>
      </x:c>
    </x:row>
    <x:row r="33" ht="60" customHeight="1">
      <x:c r="A33" s="23" t="str">
        <x:v>Excluída</x:v>
      </x:c>
      <x:c r="B33" s="15" t="str">
        <x:v>Daycred</x:v>
      </x:c>
      <x:c r="C33" s="15" t="str">
        <x:v>Consultor de Vendas | Crédito Consignado</x:v>
      </x:c>
      <x:c r="D33" s="15" t="str">
        <x:v>Comercial</x:v>
      </x:c>
      <x:c r="E33" s="15" t="str">
        <x:v>São Paulo</x:v>
      </x:c>
      <x:c r="F33" s="16" t="str">
        <x:v>https://daycred.gupy.io/jobs/12456144?jobBoardSource=gupy_public_page</x:v>
      </x:c>
      <x:c r="G33" s="18" t="str">
        <x:v>Não informado</x:v>
      </x:c>
      <x:c r="H33" s="18" t="str">
        <x:v>Não enviar</x:v>
      </x:c>
      <x:c r="I33" s="19" t="str">
        <x:v>18/09/2026</x:v>
      </x:c>
      <x:c r="J33" s="18" t="str">
        <x:v>Excluída por preferência: sem vendas ou atendimento</x:v>
      </x:c>
      <x:c r="K33" s="24" t="str">
        <x:v>E-mail recebido — não finalizada</x:v>
      </x:c>
      <x:c r="L33" t="n">
        <x:f>IF(LEFT(K33,3)="Sim",1,0)+IF(LEFT(K33,6)="Portal",1,0)</x:f>
        <x:v>0</x:v>
      </x:c>
      <x:c r="M33" t="n">
        <x:f>IF(LEFT(A33,8)="Pendente",1,0)</x:f>
        <x:v>0</x:v>
      </x:c>
    </x:row>
    <x:row r="34" ht="60" customHeight="1">
      <x:c r="A34" s="23" t="str">
        <x:v>Enviada</x:v>
      </x:c>
      <x:c r="B34" s="15" t="str">
        <x:v>Vórtx</x:v>
      </x:c>
      <x:c r="C34" s="15" t="str">
        <x:v>Analista / Desenvolvedor(a) de Software Júnior (Full-stack | AI-native)</x:v>
      </x:c>
      <x:c r="D34" s="15" t="str">
        <x:v>Desenvolvimento e IA</x:v>
      </x:c>
      <x:c r="E34" s="15" t="str">
        <x:v>São Paulo, híbrido</x:v>
      </x:c>
      <x:c r="F34" s="16" t="str">
        <x:v>https://vortx.inhire.app/vagas/e012e7a7-c537-4e34-a601-70bad9f29439/analista-desenvolvedora-de-software-junior-full-stack-or-ai-native</x:v>
      </x:c>
      <x:c r="G34" s="18" t="str">
        <x:v>Não aplicável</x:v>
      </x:c>
      <x:c r="H34" s="18" t="str">
        <x:v>Acompanhar candidatura / e-mail</x:v>
      </x:c>
      <x:c r="I34" s="19" t="str">
        <x:v>18/09/2026</x:v>
      </x:c>
      <x:c r="J34" s="18" t="str">
        <x:v>Candidatura confirmada no portal; CLT, pretensão de R$ 5 mil; Python, SQL, APIs e IA aplicada; React complementar</x:v>
      </x:c>
      <x:c r="K34" s="24" t="str">
        <x:v>Portal — confirmação registrada</x:v>
      </x:c>
      <x:c r="L34" t="n">
        <x:f>IF(LEFT(K34,3)="Sim",1,0)+IF(LEFT(K34,6)="Portal",1,0)</x:f>
        <x:v>1</x:v>
      </x:c>
      <x:c r="M34" t="n">
        <x:f>IF(LEFT(A34,8)="Pendente",1,0)</x:f>
        <x:v>0</x:v>
      </x:c>
    </x:row>
    <x:row r="35" ht="60" customHeight="1">
      <x:c r="A35" s="23" t="str">
        <x:v>Enviada</x:v>
      </x:c>
      <x:c r="B35" s="15" t="str">
        <x:v>Stone</x:v>
      </x:c>
      <x:c r="C35" s="15" t="str">
        <x:v>[Crédito] Software Engineer II — C#</x:v>
      </x:c>
      <x:c r="D35" s="15" t="str">
        <x:v>Desenvolvimento de software em crédito</x:v>
      </x:c>
      <x:c r="E35" s="15" t="str">
        <x:v>Remoto; contratação e salário não divulgados</x:v>
      </x:c>
      <x:c r="F35" s="16" t="str">
        <x:v>https://job-boards.greenhouse.io/stone/jobs/7996581003</x:v>
      </x:c>
      <x:c r="G35" s="18" t="str">
        <x:v>Nenhuma avaliação iniciada; acompanhar e-mail e portal</x:v>
      </x:c>
      <x:c r="H35" s="18" t="str">
        <x:v>Acompanhar e-mail e Greenhouse. Preparar exemplos factuais de C#/.NET, testes, Docker, CI/CD, APIs, PostgreSQL e dados.</x:v>
      </x:c>
      <x:c r="I35" s="19" t="str">
        <x:v>03/10/2026</x:v>
      </x:c>
      <x:c r="J35" s="18" t="str">
        <x:v>Candidatura confirmada com enquadramento júnior informado na descrição. O texto foi personalizado com Performance Lab, C#/.NET, testes, Docker, CI/CD, APIs e dados, sem alegar experiência formal inexistente em mensageria, ágil ou padrões avançados.</x:v>
      </x:c>
      <x:c r="K35" s="24" t="str">
        <x:v>Sim — confirmação Greenhouse 03/10</x:v>
      </x:c>
      <x:c r="L35" t="n">
        <x:f>IF(LEFT(K35,3)="Sim",1,0)+IF(LEFT(K35,6)="Portal",1,0)</x:f>
        <x:v>1</x:v>
      </x:c>
      <x:c r="M35" t="n">
        <x:f>IF(LEFT(A35,8)="Pendente",1,0)</x:f>
        <x:v>0</x:v>
      </x:c>
    </x:row>
    <x:row r="36" ht="60" customHeight="1">
      <x:c r="A36" s="23" t="str">
        <x:v>Enviada</x:v>
      </x:c>
      <x:c r="B36" s="15" t="str">
        <x:v>CloudWalk</x:v>
      </x:c>
      <x:c r="C36" s="15" t="str">
        <x:v>Backend Engineer — Authentication</x:v>
      </x:c>
      <x:c r="D36" s="15" t="str">
        <x:v>Desenvolvimento e segurança</x:v>
      </x:c>
      <x:c r="E36" s="15" t="str">
        <x:v>Remoto</x:v>
      </x:c>
      <x:c r="F36" s="16" t="str">
        <x:v>https://lp.cloudwalk.io/jobs/backend-engineer-authentication-9</x:v>
      </x:c>
      <x:c r="G36" s="18" t="str">
        <x:v>Não aplicável</x:v>
      </x:c>
      <x:c r="H36" s="18" t="str">
        <x:v>Acompanhar candidatura / e-mail</x:v>
      </x:c>
      <x:c r="I36" s="19" t="str">
        <x:v>18/09/2026</x:v>
      </x:c>
      <x:c r="J36" s="18" t="str">
        <x:v>Candidatura confirmada; aplicação de alcance em autenticação; sem declarar HSM, gestão de chaves ou mensageria como experiência</x:v>
      </x:c>
      <x:c r="K36" s="24" t="str">
        <x:v>Sim — recibo 18/09</x:v>
      </x:c>
      <x:c r="L36" t="n">
        <x:f>IF(LEFT(K36,3)="Sim",1,0)+IF(LEFT(K36,6)="Portal",1,0)</x:f>
        <x:v>1</x:v>
      </x:c>
      <x:c r="M36" t="n">
        <x:f>IF(LEFT(A36,8)="Pendente",1,0)</x:f>
        <x:v>0</x:v>
      </x:c>
    </x:row>
    <x:row r="37" ht="60" customHeight="1">
      <x:c r="A37" s="23" t="str">
        <x:v>Enviada</x:v>
      </x:c>
      <x:c r="B37" s="15" t="str">
        <x:v>QI Tech</x:v>
      </x:c>
      <x:c r="C37" s="15" t="str">
        <x:v>Desenvolvedor Fullstack | Fundos de Investimento</x:v>
      </x:c>
      <x:c r="D37" s="15" t="str">
        <x:v>Desenvolvimento</x:v>
      </x:c>
      <x:c r="E37" s="15" t="str">
        <x:v>São Paulo, presencial</x:v>
      </x:c>
      <x:c r="F37" s="16" t="str">
        <x:v>https://qitech.inhire.app/vagas/f34ade2f-0625-4f95-a1e9-3106dfe407f5/desenvolvedor-fullstack-fundos-de-investimento</x:v>
      </x:c>
      <x:c r="G37" s="18" t="str">
        <x:v>Não aplicável</x:v>
      </x:c>
      <x:c r="H37" s="18" t="str">
        <x:v>Acompanhar candidatura / e-mail</x:v>
      </x:c>
      <x:c r="I37" s="19" t="str">
        <x:v>18/09/2026</x:v>
      </x:c>
      <x:c r="J37" s="18" t="str">
        <x:v>Candidatura CLT com pretensão de R$ 5 mil confirmada no portal; Python, GCP, APIs, testes e CI/CD declarados de forma factual</x:v>
      </x:c>
      <x:c r="K37" s="24" t="str">
        <x:v>Sim — recibo 18/09</x:v>
      </x:c>
      <x:c r="L37" t="n">
        <x:f>IF(LEFT(K37,3)="Sim",1,0)+IF(LEFT(K37,6)="Portal",1,0)</x:f>
        <x:v>1</x:v>
      </x:c>
      <x:c r="M37" t="n">
        <x:f>IF(LEFT(A37,8)="Pendente",1,0)</x:f>
        <x:v>0</x:v>
      </x:c>
    </x:row>
    <x:row r="38" ht="60" customHeight="1">
      <x:c r="A38" s="23" t="str">
        <x:v>Enviada</x:v>
      </x:c>
      <x:c r="B38" s="15" t="str">
        <x:v>QI Tech</x:v>
      </x:c>
      <x:c r="C38" s="15" t="str">
        <x:v>Desenvolvedor(a) Full Stack</x:v>
      </x:c>
      <x:c r="D38" s="15" t="str">
        <x:v>Desenvolvimento</x:v>
      </x:c>
      <x:c r="E38" s="15" t="str">
        <x:v>São Paulo, presencial</x:v>
      </x:c>
      <x:c r="F38" s="16" t="str">
        <x:v>https://qitech.inhire.app/vagas/6846dfbf-ae86-4372-9c23-4b97465c3b9f/desenvolvedor-a-full-stack</x:v>
      </x:c>
      <x:c r="G38" s="18" t="str">
        <x:v>Não aplicável</x:v>
      </x:c>
      <x:c r="H38" s="18" t="str">
        <x:v>Acompanhar candidatura / e-mail</x:v>
      </x:c>
      <x:c r="I38" s="19" t="str">
        <x:v>18/09/2026</x:v>
      </x:c>
      <x:c r="J38" s="18" t="str">
        <x:v>Candidatura CLT com pretensão de R$ 5 mil confirmada no portal; Python e SQL declarados de forma factual</x:v>
      </x:c>
      <x:c r="K38" s="24" t="str">
        <x:v>Sim — recibo 18/09</x:v>
      </x:c>
      <x:c r="L38" t="n">
        <x:f>IF(LEFT(K38,3)="Sim",1,0)+IF(LEFT(K38,6)="Portal",1,0)</x:f>
        <x:v>1</x:v>
      </x:c>
      <x:c r="M38" t="n">
        <x:f>IF(LEFT(A38,8)="Pendente",1,0)</x:f>
        <x:v>0</x:v>
      </x:c>
    </x:row>
    <x:row r="39" ht="60" customHeight="1">
      <x:c r="A39" s="23" t="str">
        <x:v>Enviada</x:v>
      </x:c>
      <x:c r="B39" s="15" t="str">
        <x:v>Daycoval Tech</x:v>
      </x:c>
      <x:c r="C39" s="15" t="str">
        <x:v>Analista de Desenvolvimento Junior</x:v>
      </x:c>
      <x:c r="D39" s="15" t="str">
        <x:v>Desenvolvimento</x:v>
      </x:c>
      <x:c r="E39" s="15" t="str">
        <x:v>São Paulo/SP, híbrido</x:v>
      </x:c>
      <x:c r="F39" s="16" t="str">
        <x:v>Acessar na plataforma (link privado removido)</x:v>
      </x:c>
      <x:c r="G39" s="18" t="str">
        <x:v>Sem audiovisual declarado</x:v>
      </x:c>
      <x:c r="H39" s="18" t="str">
        <x:v>Acompanhar e-mail; validar o formato de cada etapa antes de iniciar</x:v>
      </x:c>
      <x:c r="I39" s="19" t="str">
        <x:v>21/09/2026</x:v>
      </x:c>
      <x:c r="J39" s="18" t="str">
        <x:v>Candidatura finalizada e confirmada pela Gupy em 21/09. A apresentação diferenciou projetos próprios/freelances de experiência corporativa e destacou C#/.NET, ASP.NET Core, APIs REST, EF Core, PostgreSQL/SQL, Git, Docker e testes. O requisito de dois anos de experiência foi tratado com transparência, sem alegar vínculo formal inexistente.</x:v>
      </x:c>
      <x:c r="K39" s="24" t="str">
        <x:v>Portal — confirmação Gupy 21/09</x:v>
      </x:c>
      <x:c r="L39" t="n">
        <x:f>IF(LEFT(K39,3)="Sim",1,0)+IF(LEFT(K39,6)="Portal",1,0)</x:f>
        <x:v>1</x:v>
      </x:c>
      <x:c r="M39" t="n">
        <x:f>IF(LEFT(A39,8)="Pendente",1,0)</x:f>
        <x:v>0</x:v>
      </x:c>
    </x:row>
    <x:row r="40" ht="60" customHeight="1">
      <x:c r="A40" s="23" t="str">
        <x:v>Enviada</x:v>
      </x:c>
      <x:c r="B40" s="15" t="str">
        <x:v>dLocal</x:v>
      </x:c>
      <x:c r="C40" s="15" t="str">
        <x:v>Technology Talent Pool — IT Core</x:v>
      </x:c>
      <x:c r="D40" s="15" t="str">
        <x:v>Desenvolvimento e dados</x:v>
      </x:c>
      <x:c r="E40" s="15" t="str">
        <x:v>São Paulo, híbrido</x:v>
      </x:c>
      <x:c r="F40" s="16" t="str">
        <x:v>https://jobs.lever.co/dlocal/fb65f846-848e-46cf-b6ce-e47c906b663f/apply</x:v>
      </x:c>
      <x:c r="G40" s="18" t="str">
        <x:v>Consentimento aceito</x:v>
      </x:c>
      <x:c r="H40" s="18" t="str">
        <x:v>Acompanhar e-mail</x:v>
      </x:c>
      <x:c r="I40" s="19" t="str">
        <x:v>18/09/2026</x:v>
      </x:c>
      <x:c r="J40" s="18" t="str">
        <x:v>Candidatura confirmada no portal; consentimento aceito para transcrição e triagem, sem avaliação em áudio ou vídeo.</x:v>
      </x:c>
      <x:c r="K40" s="24" t="str">
        <x:v>Sim — recibo 18/09</x:v>
      </x:c>
      <x:c r="L40" t="n">
        <x:f>IF(LEFT(K40,3)="Sim",1,0)+IF(LEFT(K40,6)="Portal",1,0)</x:f>
        <x:v>1</x:v>
      </x:c>
      <x:c r="M40" t="n">
        <x:f>IF(LEFT(A40,8)="Pendente",1,0)</x:f>
        <x:v>0</x:v>
      </x:c>
    </x:row>
    <x:row r="41" ht="60" customHeight="1">
      <x:c r="A41" s="23" t="str">
        <x:v>Enviada</x:v>
      </x:c>
      <x:c r="B41" s="15" t="str">
        <x:v>QI Tech</x:v>
      </x:c>
      <x:c r="C41" s="15" t="str">
        <x:v>Software Engineer Full Stack — Goiânia</x:v>
      </x:c>
      <x:c r="D41" s="15" t="str">
        <x:v>Desenvolvimento</x:v>
      </x:c>
      <x:c r="E41" s="15" t="str">
        <x:v>Goiânia/GO, presencial</x:v>
      </x:c>
      <x:c r="F41" s="16" t="str">
        <x:v>https://qitech.inhire.app/vagas/042b6a1d-a4d2-4407-a7a9-8553346253d6/software-engineer-full-stack-goiania</x:v>
      </x:c>
      <x:c r="G41" s="18" t="str">
        <x:v>Não aplicável</x:v>
      </x:c>
      <x:c r="H41" s="18" t="str">
        <x:v>Acompanhar candidatura / e-mail</x:v>
      </x:c>
      <x:c r="I41" s="19" t="str">
        <x:v>18/09/2026</x:v>
      </x:c>
      <x:c r="J41" s="18" t="str">
        <x:v>Candidatura CLT com pretensão de R$ 5 mil confirmada no portal; disponibilidade real para mudança declarada</x:v>
      </x:c>
      <x:c r="K41" s="24" t="str">
        <x:v>Sim — recibo 18/09</x:v>
      </x:c>
      <x:c r="L41" t="n">
        <x:f>IF(LEFT(K41,3)="Sim",1,0)+IF(LEFT(K41,6)="Portal",1,0)</x:f>
        <x:v>1</x:v>
      </x:c>
      <x:c r="M41" t="n">
        <x:f>IF(LEFT(A41,8)="Pendente",1,0)</x:f>
        <x:v>0</x:v>
      </x:c>
    </x:row>
    <x:row r="42" ht="60" customHeight="1">
      <x:c r="A42" s="23" t="str">
        <x:v>Enviada</x:v>
      </x:c>
      <x:c r="B42" s="15" t="str">
        <x:v>Zippi</x:v>
      </x:c>
      <x:c r="C42" s="15" t="str">
        <x:v>Banco de Talentos | Full Time — Engineering/Data</x:v>
      </x:c>
      <x:c r="D42" s="15" t="str">
        <x:v>Desenvolvimento, dados e IA</x:v>
      </x:c>
      <x:c r="E42" s="15" t="str">
        <x:v>Remoto, Brasil</x:v>
      </x:c>
      <x:c r="F42" s="16" t="str">
        <x:v>https://jobs.lever.co/zippi/a944f888-e2a1-4fc8-824b-ee537e959605</x:v>
      </x:c>
      <x:c r="G42" s="18" t="str">
        <x:v>Não aplicável</x:v>
      </x:c>
      <x:c r="H42" s="18" t="str">
        <x:v>Acompanhar candidatura / e-mail</x:v>
      </x:c>
      <x:c r="I42" s="19" t="str">
        <x:v>18/09/2026</x:v>
      </x:c>
      <x:c r="J42" s="18" t="str">
        <x:v>Candidatura confirmada no Lever; selecionadas somente Engineering, Data Engineering e Data Science</x:v>
      </x:c>
      <x:c r="K42" s="24" t="str">
        <x:v>Sim — recibo genérico 18/09</x:v>
      </x:c>
      <x:c r="L42" t="n">
        <x:f>IF(LEFT(K42,3)="Sim",1,0)+IF(LEFT(K42,6)="Portal",1,0)</x:f>
        <x:v>1</x:v>
      </x:c>
      <x:c r="M42" t="n">
        <x:f>IF(LEFT(A42,8)="Pendente",1,0)</x:f>
        <x:v>0</x:v>
      </x:c>
    </x:row>
    <x:row r="43" ht="60" customHeight="1">
      <x:c r="A43" s="23" t="str">
        <x:v>Pendente — sem confirmação</x:v>
      </x:c>
      <x:c r="B43" s="15" t="str">
        <x:v>Gringo &amp; Zapay</x:v>
      </x:c>
      <x:c r="C43" s="15" t="str">
        <x:v>Engenheiro(a) de Software</x:v>
      </x:c>
      <x:c r="D43" s="15" t="str">
        <x:v>Desenvolvimento</x:v>
      </x:c>
      <x:c r="E43" s="15" t="str">
        <x:v>Remoto</x:v>
      </x:c>
      <x:c r="F43" s="16" t="str">
        <x:v>https://gringoezapay.gupy.io/jobs/11876542?jobBoardSource=gupy_public_page</x:v>
      </x:c>
      <x:c r="G43" s="18" t="str">
        <x:v>Não aplicável</x:v>
      </x:c>
      <x:c r="H43" s="18" t="str">
        <x:v>Localizar recibo ou application ID antes de reaplicar</x:v>
      </x:c>
      <x:c r="I43" s="19" t="str">
        <x:v>19/09/2026</x:v>
      </x:c>
      <x:c r="J43" s="18" t="str">
        <x:v>A auditoria só encontrou rota Apply seguida de autenticação, sem application ID na Gupy nem recibo por e-mail. Não tratar como candidatura confirmada.</x:v>
      </x:c>
      <x:c r="K43" s="24" t="str">
        <x:v>Não aplicável — não enviada</x:v>
      </x:c>
      <x:c r="L43" t="n">
        <x:f>IF(LEFT(K43,3)="Sim",1,0)+IF(LEFT(K43,6)="Portal",1,0)</x:f>
        <x:v>0</x:v>
      </x:c>
      <x:c r="M43" t="n">
        <x:f>IF(LEFT(A43,8)="Pendente",1,0)</x:f>
        <x:v>1</x:v>
      </x:c>
    </x:row>
    <x:row r="44" ht="60" customHeight="1">
      <x:c r="A44" s="23" t="str">
        <x:v>Enviada</x:v>
      </x:c>
      <x:c r="B44" s="15" t="str">
        <x:v>QI Tech</x:v>
      </x:c>
      <x:c r="C44" s="15" t="str">
        <x:v>Software Engineer I Full Stack</x:v>
      </x:c>
      <x:c r="D44" s="15" t="str">
        <x:v>Desenvolvimento</x:v>
      </x:c>
      <x:c r="E44" s="15" t="str">
        <x:v>Montevidéu/Uruguai, presencial</x:v>
      </x:c>
      <x:c r="F44" s="16" t="str">
        <x:v>https://qitech.inhire.app/vagas/6c25d207-3ec0-408a-a23a-c0d27954ebbf/software-engineer-i-full-stack</x:v>
      </x:c>
      <x:c r="G44" s="18" t="str">
        <x:v>Não aplicável</x:v>
      </x:c>
      <x:c r="H44" s="18" t="str">
        <x:v>Acompanhar candidatura / e-mail</x:v>
      </x:c>
      <x:c r="I44" s="19" t="str">
        <x:v>18/09/2026</x:v>
      </x:c>
      <x:c r="J44" s="18" t="str">
        <x:v>Candidatura internacional confirmada no portal; disponibilidade de mudança declarada, sem alegação migratória</x:v>
      </x:c>
      <x:c r="K44" s="24" t="str">
        <x:v>Portal — confirmação registrada</x:v>
      </x:c>
      <x:c r="L44" t="n">
        <x:f>IF(LEFT(K44,3)="Sim",1,0)+IF(LEFT(K44,6)="Portal",1,0)</x:f>
        <x:v>1</x:v>
      </x:c>
      <x:c r="M44" t="n">
        <x:f>IF(LEFT(A44,8)="Pendente",1,0)</x:f>
        <x:v>0</x:v>
      </x:c>
    </x:row>
    <x:row r="45" ht="60" customHeight="1">
      <x:c r="A45" s="23" t="str">
        <x:v>Já enviada</x:v>
      </x:c>
      <x:c r="B45" s="15" t="str">
        <x:v>Flex</x:v>
      </x:c>
      <x:c r="C45" s="15" t="str">
        <x:v>Software Engineer II</x:v>
      </x:c>
      <x:c r="D45" s="15" t="str">
        <x:v>Desenvolvimento</x:v>
      </x:c>
      <x:c r="E45" s="15" t="str">
        <x:v>Remoto, Brasil</x:v>
      </x:c>
      <x:c r="F45" s="16" t="str">
        <x:v>https://jobs.lever.co/Flex/380ff066-0f0f-4a86-b141-e38c9a9517f3</x:v>
      </x:c>
      <x:c r="G45" s="18" t="str">
        <x:v>Não aplicável</x:v>
      </x:c>
      <x:c r="H45" s="18" t="str">
        <x:v>Não reenviar; candidatura prévia reconhecida pelo portal</x:v>
      </x:c>
      <x:c r="I45" s="19" t="str">
        <x:v>18/09/2026</x:v>
      </x:c>
      <x:c r="J45" s="18" t="str">
        <x:v>O portal confirmou candidatura anterior em 13/09/2026; duplicidade evitada. Faixa publicada: US$ 55–75 mil/ano</x:v>
      </x:c>
      <x:c r="K45" s="24" t="str">
        <x:v>Portal — candidatura anterior</x:v>
      </x:c>
      <x:c r="L45" t="n">
        <x:f>IF(LEFT(K45,3)="Sim",1,0)+IF(LEFT(K45,6)="Portal",1,0)</x:f>
        <x:v>1</x:v>
      </x:c>
      <x:c r="M45" t="n">
        <x:f>IF(LEFT(A45,8)="Pendente",1,0)</x:f>
        <x:v>0</x:v>
      </x:c>
    </x:row>
    <x:row r="46" ht="60" customHeight="1">
      <x:c r="A46" s="23" t="str">
        <x:v>Pendente — bolsa</x:v>
      </x:c>
      <x:c r="B46" s="15" t="str">
        <x:v>Enova / Simplic</x:v>
      </x:c>
      <x:c r="C46" s="15" t="str">
        <x:v>Data Analytics Intern</x:v>
      </x:c>
      <x:c r="D46" s="15" t="str">
        <x:v>Dados e IA</x:v>
      </x:c>
      <x:c r="E46" s="15" t="str">
        <x:v>São Paulo, híbrido</x:v>
      </x:c>
      <x:c r="F46" s="16" t="str">
        <x:v>https://job-boards.greenhouse.io/enova/jobs/8023514</x:v>
      </x:c>
      <x:c r="G46" s="18" t="str">
        <x:v>Não aplicável</x:v>
      </x:c>
      <x:c r="H46" s="18" t="str">
        <x:v>Confirmar bolsa de R$ 4 mil ou mais antes de enviar</x:v>
      </x:c>
      <x:c r="I46" s="19" t="str">
        <x:v>18/09/2026</x:v>
      </x:c>
      <x:c r="J46" s="18" t="str">
        <x:v>Aderência factual em Python, SQL, Excel e ADS em andamento; inglês e estatística são pontos de atenção. Anúncio só diz bolsa competitiva; sinal público de estágio na empresa fica em R$2–3 mil, abaixo do piso.</x:v>
      </x:c>
      <x:c r="K46" s="24" t="str">
        <x:v>Não aplicável — não enviada</x:v>
      </x:c>
      <x:c r="L46" t="n">
        <x:f>IF(LEFT(K46,3)="Sim",1,0)+IF(LEFT(K46,6)="Portal",1,0)</x:f>
        <x:v>0</x:v>
      </x:c>
      <x:c r="M46" t="n">
        <x:f>IF(LEFT(A46,8)="Pendente",1,0)</x:f>
        <x:v>1</x:v>
      </x:c>
    </x:row>
    <x:row r="47" ht="60" customHeight="1">
      <x:c r="A47" s="23" t="str">
        <x:v>Em espera</x:v>
      </x:c>
      <x:c r="B47" s="15" t="str">
        <x:v>Sezzle</x:v>
      </x:c>
      <x:c r="C47" s="15" t="str">
        <x:v>A.I. Engineering Intern</x:v>
      </x:c>
      <x:c r="D47" s="15" t="str">
        <x:v>Dados e IA</x:v>
      </x:c>
      <x:c r="E47" s="15" t="str">
        <x:v>Remoto, LATAM</x:v>
      </x:c>
      <x:c r="F47" s="16" t="str">
        <x:v>https://job-boards.greenhouse.io/sezzle/jobs/7980309003</x:v>
      </x:c>
      <x:c r="G47" s="18" t="str">
        <x:v>Não aplicável</x:v>
      </x:c>
      <x:c r="H47" s="18" t="str">
        <x:v>Acompanhar retorno; não reenviar histórico sem solicitação</x:v>
      </x:c>
      <x:c r="I47" s="19" t="str">
        <x:v>19/09/2026</x:v>
      </x:c>
      <x:c r="J47" s="18" t="str">
        <x:v>E-mail de 16/09 informa que a candidatura foi colocada em espera. Não há ação solicitada. A bolsa publicada de US$ 1 mil/mês e a exigência de histórico acadêmico oficial permanecem registradas.</x:v>
      </x:c>
      <x:c r="K47" s="24" t="str">
        <x:v>Sim — status por e-mail 16/09</x:v>
      </x:c>
      <x:c r="L47" t="n">
        <x:f>IF(LEFT(K47,3)="Sim",1,0)+IF(LEFT(K47,6)="Portal",1,0)</x:f>
        <x:v>1</x:v>
      </x:c>
      <x:c r="M47" t="n">
        <x:f>IF(LEFT(A47,8)="Pendente",1,0)</x:f>
        <x:v>0</x:v>
      </x:c>
    </x:row>
    <x:row r="48" ht="60" customHeight="1">
      <x:c r="A48" s="23" t="str">
        <x:v>Enviada</x:v>
      </x:c>
      <x:c r="B48" s="15" t="str">
        <x:v>BMP</x:v>
      </x:c>
      <x:c r="C48" s="15" t="str">
        <x:v>Desenvolvedor(a) Júnior — Engenharia / Projetos Técnicos</x:v>
      </x:c>
      <x:c r="D48" s="15" t="str">
        <x:v>Desenvolvimento e automação</x:v>
      </x:c>
      <x:c r="E48" s="15" t="str">
        <x:v>Remoto, Brasil</x:v>
      </x:c>
      <x:c r="F48" s="16" t="str">
        <x:v>https://bmp.inhire.app/vagas/5e4fc0bc-5cb1-4e42-b068-73a4b5f5db7c/desenvolvedora-junior-engenharia-projetos-tecnicos</x:v>
      </x:c>
      <x:c r="G48" s="18" t="str">
        <x:v>Não aplicável</x:v>
      </x:c>
      <x:c r="H48" s="18" t="str">
        <x:v>Acompanhar candidatura / e-mail</x:v>
      </x:c>
      <x:c r="I48" s="19" t="str">
        <x:v>18/09/2026</x:v>
      </x:c>
      <x:c r="J48" s="18" t="str">
        <x:v>Candidatura CLT com pretensão de R$ 6 mil confirmada no portal; C#/.NET, APIs, SQL, Git e automações declarados de forma factual</x:v>
      </x:c>
      <x:c r="K48" s="24" t="str">
        <x:v>Portal — confirmação registrada</x:v>
      </x:c>
      <x:c r="L48" t="n">
        <x:f>IF(LEFT(K48,3)="Sim",1,0)+IF(LEFT(K48,6)="Portal",1,0)</x:f>
        <x:v>1</x:v>
      </x:c>
      <x:c r="M48" t="n">
        <x:f>IF(LEFT(A48,8)="Pendente",1,0)</x:f>
        <x:v>0</x:v>
      </x:c>
    </x:row>
    <x:row r="49" ht="60" customHeight="1">
      <x:c r="A49" s="23" t="str">
        <x:v>Enviada</x:v>
      </x:c>
      <x:c r="B49" s="15" t="str">
        <x:v>Inter</x:v>
      </x:c>
      <x:c r="C49" s="15" t="str">
        <x:v>Data Analyst I — Innovation Office LCO</x:v>
      </x:c>
      <x:c r="D49" s="15" t="str">
        <x:v>Dados, automação e IA</x:v>
      </x:c>
      <x:c r="E49" s="15" t="str">
        <x:v>Belo Horizonte, presencial</x:v>
      </x:c>
      <x:c r="F49" s="16" t="str">
        <x:v>https://job-boards.greenhouse.io/inter/jobs/4725206005</x:v>
      </x:c>
      <x:c r="G49" s="18" t="str">
        <x:v>Consentimento aceito</x:v>
      </x:c>
      <x:c r="H49" s="18" t="str">
        <x:v>Acompanhar via MyGreenhouse</x:v>
      </x:c>
      <x:c r="I49" s="19" t="str">
        <x:v>18/09/2026</x:v>
      </x:c>
      <x:c r="J49" s="18" t="str">
        <x:v>Candidatura confirmada; CV premium anexado. SQL e Python declarados de forma factual, sem alegar Tableau/BI. Triagem/transcrição por IA autorizadas; referência de negociação: R$ 8 mil.</x:v>
      </x:c>
      <x:c r="K49" s="24" t="str">
        <x:v>Sim — recibos genéricos 18/09</x:v>
      </x:c>
      <x:c r="L49" t="n">
        <x:f>IF(LEFT(K49,3)="Sim",1,0)+IF(LEFT(K49,6)="Portal",1,0)</x:f>
        <x:v>1</x:v>
      </x:c>
      <x:c r="M49" t="n">
        <x:f>IF(LEFT(A49,8)="Pendente",1,0)</x:f>
        <x:v>0</x:v>
      </x:c>
    </x:row>
    <x:row r="50" ht="60" customHeight="1">
      <x:c r="A50" s="23" t="str">
        <x:v>Excluída — audiovisual</x:v>
      </x:c>
      <x:c r="B50" s="15" t="str">
        <x:v>Agibank</x:v>
      </x:c>
      <x:c r="C50" s="15" t="str">
        <x:v>Analista de Produtos Júnior — Open Finance</x:v>
      </x:c>
      <x:c r="D50" s="15" t="str">
        <x:v>Dados e produtos</x:v>
      </x:c>
      <x:c r="E50" s="15" t="str">
        <x:v>Campinas/SP, presencial</x:v>
      </x:c>
      <x:c r="F50" s="16" t="str">
        <x:v>https://job-boards.greenhouse.io/agibank/jobs/5395929008</x:v>
      </x:c>
      <x:c r="G50" s="18" t="str">
        <x:v>Exige câmera e tela</x:v>
      </x:c>
      <x:c r="H50" s="18" t="str">
        <x:v>Não iniciar o teste cultural</x:v>
      </x:c>
      <x:c r="I50" s="19" t="str">
        <x:v>19/09/2026</x:v>
      </x:c>
      <x:c r="J50" s="18" t="str">
        <x:v>Recibo por e-mail de 18/09 confirma a candidatura e libera o Teste Cultural. O e-mail exige câmera ligada e compartilhamento de tela ativo durante toda a etapa; excluído conforme a regra de não realizar monitoramento audiovisual.</x:v>
      </x:c>
      <x:c r="K50" s="24" t="str">
        <x:v>Sim — recibo e bloqueio AV 18/09</x:v>
      </x:c>
      <x:c r="L50" t="n">
        <x:f>IF(LEFT(K50,3)="Sim",1,0)+IF(LEFT(K50,6)="Portal",1,0)</x:f>
        <x:v>1</x:v>
      </x:c>
      <x:c r="M50" t="n">
        <x:f>IF(LEFT(A50,8)="Pendente",1,0)</x:f>
        <x:v>0</x:v>
      </x:c>
    </x:row>
    <x:row r="51" ht="60" customHeight="1">
      <x:c r="A51" s="23" t="str">
        <x:v>Enviada</x:v>
      </x:c>
      <x:c r="B51" s="15" t="str">
        <x:v>Enter</x:v>
      </x:c>
      <x:c r="C51" s="15" t="str">
        <x:v>Junior Software Engineer</x:v>
      </x:c>
      <x:c r="D51" s="15" t="str">
        <x:v>Desenvolvimento e IA</x:v>
      </x:c>
      <x:c r="E51" s="15" t="str">
        <x:v>São Paulo, presencial</x:v>
      </x:c>
      <x:c r="F51" s="16" t="str">
        <x:v>Acessar na plataforma (link privado removido)</x:v>
      </x:c>
      <x:c r="G51" s="18" t="str">
        <x:v>IA de triagem informada</x:v>
      </x:c>
      <x:c r="H51" s="18" t="str">
        <x:v>Acompanhar e-mail</x:v>
      </x:c>
      <x:c r="I51" s="19" t="str">
        <x:v>18/09/2026</x:v>
      </x:c>
      <x:c r="J51" s="18" t="str">
        <x:v>Candidatura confirmada no portal; CV premium anexado. APIs, banco relacional, testes e LLMs são aderentes ao perfil. Referência de negociação: R$ 7 mil, ajustável conforme proposta e pacote.</x:v>
      </x:c>
      <x:c r="K51" s="24" t="str">
        <x:v>Sim — recibo 18/09</x:v>
      </x:c>
      <x:c r="L51" t="n">
        <x:f>IF(LEFT(K51,3)="Sim",1,0)+IF(LEFT(K51,6)="Portal",1,0)</x:f>
        <x:v>1</x:v>
      </x:c>
      <x:c r="M51" t="n">
        <x:f>IF(LEFT(A51,8)="Pendente",1,0)</x:f>
        <x:v>0</x:v>
      </x:c>
    </x:row>
    <x:row r="52" ht="60" customHeight="1">
      <x:c r="A52" s="23" t="str">
        <x:v>Pendente — teste numérico</x:v>
      </x:c>
      <x:c r="B52" s="15" t="str">
        <x:v>Clara</x:v>
      </x:c>
      <x:c r="C52" s="15" t="str">
        <x:v>Data Analyst</x:v>
      </x:c>
      <x:c r="D52" s="15" t="str">
        <x:v>Dados e IA</x:v>
      </x:c>
      <x:c r="E52" s="15" t="str">
        <x:v>São Paulo/SP, híbrido</x:v>
      </x:c>
      <x:c r="F52" s="16" t="str">
        <x:v>https://job-boards.greenhouse.io/clara/jobs/5205085007</x:v>
      </x:c>
      <x:c r="G52" s="18" t="str">
        <x:v>Vídeo excluído; numérico separado</x:v>
      </x:c>
      <x:c r="H52" s="18" t="str">
        <x:v>Revisar regras do teste numérico antes de iniciar</x:v>
      </x:c>
      <x:c r="I52" s="19" t="str">
        <x:v>18/09/2026</x:v>
      </x:c>
      <x:c r="J52" s="18" t="str">
        <x:v>Candidatura confirmada. A entrevista gravada em vídeo foi excluída; o teste numérico é fluxo independente, escrito, com 5–10 questões adaptativas cronometradas e link válido por 14 dias. Regras de assistência ainda não verificadas.</x:v>
      </x:c>
      <x:c r="K52" s="24" t="str">
        <x:v>Sim — recibo 18/09</x:v>
      </x:c>
      <x:c r="L52" t="n">
        <x:f>IF(LEFT(K52,3)="Sim",1,0)+IF(LEFT(K52,6)="Portal",1,0)</x:f>
        <x:v>1</x:v>
      </x:c>
      <x:c r="M52" t="n">
        <x:f>IF(LEFT(A52,8)="Pendente",1,0)</x:f>
        <x:v>1</x:v>
      </x:c>
    </x:row>
    <x:row r="53" ht="60" customHeight="1">
      <x:c r="A53" s="23" t="str">
        <x:v>Pendente — teste sem assistência</x:v>
      </x:c>
      <x:c r="B53" s="15" t="str">
        <x:v>Localiza&amp;Co</x:v>
      </x:c>
      <x:c r="C53" s="15" t="str">
        <x:v>Software Developer Junior .NET</x:v>
      </x:c>
      <x:c r="D53" s="15" t="str">
        <x:v>Desenvolvimento</x:v>
      </x:c>
      <x:c r="E53" s="15" t="str">
        <x:v>Remoto</x:v>
      </x:c>
      <x:c r="F53" s="16" t="str">
        <x:v>Acessar na plataforma (link privado removido)</x:v>
      </x:c>
      <x:c r="G53" s="18" t="str">
        <x:v>Consulta externa proibida por padrão</x:v>
      </x:c>
      <x:c r="H53" s="18" t="str">
        <x:v>Realizar pessoalmente; não continuar se exigir audiovisual</x:v>
      </x:c>
      <x:c r="I53" s="19" t="str">
        <x:v>21/09/2026</x:v>
      </x:c>
      <x:c r="J53" s="18" t="str">
        <x:v>Candidatura finalizada e personalizada pela Gupy. O texto diferenciou projetos próprios/freelances em C#/.NET, ASP.NET Core, APIs REST, PostgreSQL, xUnit, Docker e Git de experiência formal. Tela prévia da Coodesh: teste .NET Junior, 40 minutos, uma seção e cronômetro ainda não iniciado; o guia proíbe consultar pessoas, sites ou materiais de apoio, salvo permissão expressa.</x:v>
      </x:c>
      <x:c r="K53" s="24" t="str">
        <x:v>Portal — candidatura finalizada; teste pendente</x:v>
      </x:c>
      <x:c r="L53" t="n">
        <x:f>IF(LEFT(K53,3)="Sim",1,0)+IF(LEFT(K53,6)="Portal",1,0)</x:f>
        <x:v>1</x:v>
      </x:c>
      <x:c r="M53" t="n">
        <x:f>IF(LEFT(A53,8)="Pendente",1,0)</x:f>
        <x:v>1</x:v>
      </x:c>
    </x:row>
    <x:row r="54" ht="60" customHeight="1">
      <x:c r="A54" s="23" t="str">
        <x:v>Pendente — sem confirmação</x:v>
      </x:c>
      <x:c r="B54" s="15" t="str">
        <x:v>Certisign</x:v>
      </x:c>
      <x:c r="C54" s="15" t="str">
        <x:v>DevOps JR</x:v>
      </x:c>
      <x:c r="D54" s="15" t="str">
        <x:v>Cloud e DevOps</x:v>
      </x:c>
      <x:c r="E54" s="15" t="str">
        <x:v>São Paulo/SP, híbrido 2x</x:v>
      </x:c>
      <x:c r="F54" s="16" t="str">
        <x:v>Acessar na plataforma (link privado removido)</x:v>
      </x:c>
      <x:c r="G54" s="18" t="str">
        <x:v>Não informado</x:v>
      </x:c>
      <x:c r="H54" s="18" t="str">
        <x:v>Localizar recibo ou application ID antes de reaplicar</x:v>
      </x:c>
      <x:c r="I54" s="19" t="str">
        <x:v>19/09/2026</x:v>
      </x:c>
      <x:c r="J54" s="18" t="str">
        <x:v>A auditoria só encontrou rota Apply seguida de autenticação, sem application ID na Gupy nem recibo por e-mail. Não tratar como candidatura confirmada.</x:v>
      </x:c>
      <x:c r="K54" s="24" t="str">
        <x:v>Não aplicável — não enviada</x:v>
      </x:c>
      <x:c r="L54" t="n">
        <x:f>IF(LEFT(K54,3)="Sim",1,0)+IF(LEFT(K54,6)="Portal",1,0)</x:f>
        <x:v>0</x:v>
      </x:c>
      <x:c r="M54" t="n">
        <x:f>IF(LEFT(A54,8)="Pendente",1,0)</x:f>
        <x:v>1</x:v>
      </x:c>
    </x:row>
    <x:row r="55" ht="60" customHeight="1">
      <x:c r="A55" s="23" t="str">
        <x:v>Pendente — validações / CAPTCHA</x:v>
      </x:c>
      <x:c r="B55" s="15" t="str">
        <x:v>BTG Pactual</x:v>
      </x:c>
      <x:c r="C55" s="15" t="str">
        <x:v>Desenvolvedor(a) Backend Júnior/Pleno — IT Trading</x:v>
      </x:c>
      <x:c r="D55" s="15" t="str">
        <x:v>Desenvolvimento</x:v>
      </x:c>
      <x:c r="E55" s="15" t="str">
        <x:v>São Paulo, presencial</x:v>
      </x:c>
      <x:c r="F55" s="16" t="str">
        <x:v>https://job-boards.greenhouse.io/btgpactual/jobs/5750244004</x:v>
      </x:c>
      <x:c r="G55" s="18" t="str">
        <x:v>Não aplicável</x:v>
      </x:c>
      <x:c r="H55" s="18" t="str">
        <x:v>Completar quatro controles e o CAPTCHA normal; revisar e enviar</x:v>
      </x:c>
      <x:c r="I55" s="19" t="str">
        <x:v>19/09/2026</x:v>
      </x:c>
      <x:c r="J55" s="18" t="str">
        <x:v>Currículo, dados e privacidade estão preenchidos, mas o formulário permanece inválido: há dois campos de autocomplete, dois de seleção múltipla sem validação e resposta reCAPTCHA invisível vazia. Não tentar burlar o CAPTCHA. Referência de negociação: R$9–10 mil.</x:v>
      </x:c>
      <x:c r="K55" s="24" t="str">
        <x:v>Não aplicável — não enviada</x:v>
      </x:c>
      <x:c r="L55" t="n">
        <x:f>IF(LEFT(K55,3)="Sim",1,0)+IF(LEFT(K55,6)="Portal",1,0)</x:f>
        <x:v>0</x:v>
      </x:c>
      <x:c r="M55" t="n">
        <x:f>IF(LEFT(A55,8)="Pendente",1,0)</x:f>
        <x:v>1</x:v>
      </x:c>
    </x:row>
    <x:row r="56" ht="60" customHeight="1">
      <x:c r="A56" s="23" t="str">
        <x:v>Pendente — validações / CAPTCHA</x:v>
      </x:c>
      <x:c r="B56" s="15" t="str">
        <x:v>BTG Pactual</x:v>
      </x:c>
      <x:c r="C56" s="15" t="str">
        <x:v>Desenvolvedor(a) FullStack Júnior/Pleno/Sênior — IT Credit Risk</x:v>
      </x:c>
      <x:c r="D56" s="15" t="str">
        <x:v>Desenvolvimento e dados</x:v>
      </x:c>
      <x:c r="E56" s="15" t="str">
        <x:v>São Paulo, presencial</x:v>
      </x:c>
      <x:c r="F56" s="16" t="str">
        <x:v>https://job-boards.greenhouse.io/btgpactual/jobs/5764452004</x:v>
      </x:c>
      <x:c r="G56" s="18" t="str">
        <x:v>Não aplicável</x:v>
      </x:c>
      <x:c r="H56" s="18" t="str">
        <x:v>Completar quatro controles e o CAPTCHA normal; revisar e enviar</x:v>
      </x:c>
      <x:c r="I56" s="19" t="str">
        <x:v>19/09/2026</x:v>
      </x:c>
      <x:c r="J56" s="18" t="str">
        <x:v>Currículo, dados e privacidade estão preenchidos, mas o formulário permanece inválido: há dois campos de autocomplete, dois de seleção múltipla sem validação e resposta reCAPTCHA invisível vazia. Não tentar burlar o CAPTCHA. Referência de negociação: R$8,5–10 mil.</x:v>
      </x:c>
      <x:c r="K56" s="24" t="str">
        <x:v>Não aplicável — não enviada</x:v>
      </x:c>
      <x:c r="L56" t="n">
        <x:f>IF(LEFT(K56,3)="Sim",1,0)+IF(LEFT(K56,6)="Portal",1,0)</x:f>
        <x:v>0</x:v>
      </x:c>
      <x:c r="M56" t="n">
        <x:f>IF(LEFT(A56,8)="Pendente",1,0)</x:f>
        <x:v>1</x:v>
      </x:c>
    </x:row>
    <x:row r="57" ht="90" customHeight="1">
      <x:c r="A57" s="23" t="str">
        <x:v>Enviada</x:v>
      </x:c>
      <x:c r="B57" s="15" t="str">
        <x:v>UOL</x:v>
      </x:c>
      <x:c r="C57" s="15" t="str">
        <x:v>Engenheiro de Software Jr. (Node.js / React.js)</x:v>
      </x:c>
      <x:c r="D57" s="15" t="str">
        <x:v>Desenvolvimento</x:v>
      </x:c>
      <x:c r="E57" s="15" t="str">
        <x:v>São Paulo/SP, híbrido 3x</x:v>
      </x:c>
      <x:c r="F57" s="16" t="str">
        <x:v>Acessar na plataforma (link privado removido)</x:v>
      </x:c>
      <x:c r="G57" s="18" t="str">
        <x:v>Sem audiovisual declarado</x:v>
      </x:c>
      <x:c r="H57" s="18" t="str">
        <x:v>Acompanhar e-mail e portal; se houver teste, o candidato deve realizá-lo pessoalmente.</x:v>
      </x:c>
      <x:c r="I57" s="19" t="str">
        <x:v>02/10/2026</x:v>
      </x:c>
      <x:c r="J57" s="18" t="str">
        <x:v>Candidatura finalizada na Gupy em 02/10 com currículo atualizado e apresentação personalizada. Foram destacadas experiência profissional full stack na Performance Lab, .NET/C#, React/TypeScript, PostgreSQL, APIs, integrações e testes; Node.js/NestJS ficou limitado a projetos práticos, sem inflar experiência profissional.</x:v>
      </x:c>
      <x:c r="K57" s="24" t="str">
        <x:v>Sim — finalizada na Gupy 02/10</x:v>
      </x:c>
      <x:c r="L57" t="n">
        <x:f>IF(LEFT(K57,3)="Sim",1,0)+IF(LEFT(K57,6)="Portal",1,0)</x:f>
        <x:v>1</x:v>
      </x:c>
      <x:c r="M57" t="n">
        <x:f>IF(LEFT(A57,8)="Pendente",1,0)</x:f>
        <x:v>0</x:v>
      </x:c>
    </x:row>
    <x:row r="58" ht="60" customHeight="1">
      <x:c r="A58" s="23" t="str">
        <x:v>Pendente — bolsa</x:v>
      </x:c>
      <x:c r="B58" s="15" t="str">
        <x:v>Zippi</x:v>
      </x:c>
      <x:c r="C58" s="15" t="str">
        <x:v>Banco de Talentos | Estágio</x:v>
      </x:c>
      <x:c r="D58" s="15" t="str">
        <x:v>Engineering e dados</x:v>
      </x:c>
      <x:c r="E58" s="15" t="str">
        <x:v>Remoto ou São Paulo</x:v>
      </x:c>
      <x:c r="F58" s="16" t="str">
        <x:v>https://jobs.lever.co/zippi/8a2b211c-4b0a-490d-a155-92384ce0f09d/apply</x:v>
      </x:c>
      <x:c r="G58" s="18" t="str">
        <x:v>Não aplicável</x:v>
      </x:c>
      <x:c r="H58" s="18" t="str">
        <x:v>Confirmar bolsa de R$4 mil ou mais e autorização acadêmica antes de enviar</x:v>
      </x:c>
      <x:c r="I58" s="19" t="str">
        <x:v>18/09/2026</x:v>
      </x:c>
      <x:c r="J58" s="18" t="str">
        <x:v>Permite Engineering, Data Engineering e Data Science, mas não divulga bolsa. Sinal público indireto de estágio na empresa é cerca de R$2 mil/mês; não enviar sem confirmação do piso.</x:v>
      </x:c>
      <x:c r="K58" s="24" t="str">
        <x:v>Não aplicável — não enviada</x:v>
      </x:c>
      <x:c r="L58" t="n">
        <x:f>IF(LEFT(K58,3)="Sim",1,0)+IF(LEFT(K58,6)="Portal",1,0)</x:f>
        <x:v>0</x:v>
      </x:c>
      <x:c r="M58" t="n">
        <x:f>IF(LEFT(A58,8)="Pendente",1,0)</x:f>
        <x:v>1</x:v>
      </x:c>
    </x:row>
    <x:row r="59" ht="60" customHeight="1">
      <x:c r="A59" s="23" t="str">
        <x:v>Pendente — formulário incompleto</x:v>
      </x:c>
      <x:c r="B59" s="15" t="str">
        <x:v>Mercado Livre</x:v>
      </x:c>
      <x:c r="C59" s="15" t="str">
        <x:v>Software Engineer Backend</x:v>
      </x:c>
      <x:c r="D59" s="15" t="str">
        <x:v>Desenvolvimento</x:v>
      </x:c>
      <x:c r="E59" s="15" t="str">
        <x:v>Osasco/SP, híbrido</x:v>
      </x:c>
      <x:c r="F59" s="16" t="str">
        <x:v>https://mercadolibre.eightfold.ai/careers/apply?pid=43972410</x:v>
      </x:c>
      <x:c r="G59" s="18" t="str">
        <x:v>Não informado</x:v>
      </x:c>
      <x:c r="H59" s="18" t="str">
        <x:v>Preencher obrigatórios, revisar aderência e enviar somente se decidir</x:v>
      </x:c>
      <x:c r="I59" s="19" t="str">
        <x:v>19/09/2026</x:v>
      </x:c>
      <x:c r="J59" s="18" t="str">
        <x:v>Formulário não submetido. Currículo e diversos campos obrigatórios estão em branco; há reCAPTCHA invisível. A vaga pede Java/Kotlin, DDD, concorrência distribuída e bancos não relacionais sem evidência profissional no perfil. Não enviar automaticamente.</x:v>
      </x:c>
      <x:c r="K59" s="24" t="str">
        <x:v>Não aplicável — não enviada</x:v>
      </x:c>
      <x:c r="L59" t="n">
        <x:f>IF(LEFT(K59,3)="Sim",1,0)+IF(LEFT(K59,6)="Portal",1,0)</x:f>
        <x:v>0</x:v>
      </x:c>
      <x:c r="M59" t="n">
        <x:f>IF(LEFT(A59,8)="Pendente",1,0)</x:f>
        <x:v>1</x:v>
      </x:c>
    </x:row>
    <x:row r="60" ht="60" customHeight="1">
      <x:c r="A60" s="23" t="str">
        <x:v>Enviada</x:v>
      </x:c>
      <x:c r="B60" s="15" t="str">
        <x:v>QI Tech</x:v>
      </x:c>
      <x:c r="C60" s="15" t="str">
        <x:v>DevOps Engineer</x:v>
      </x:c>
      <x:c r="D60" s="15" t="str">
        <x:v>Cloud e DevOps</x:v>
      </x:c>
      <x:c r="E60" s="15" t="str">
        <x:v>São Paulo/SP, presencial</x:v>
      </x:c>
      <x:c r="F60" s="16" t="str">
        <x:v>https://qitech.inhire.app/vagas/b747010a-c3a8-4407-9353-b81a066fe3c4/devops-engineer</x:v>
      </x:c>
      <x:c r="G60" s="18" t="str">
        <x:v>Não aplicável</x:v>
      </x:c>
      <x:c r="H60" s="18" t="str">
        <x:v>Acompanhar confirmação e e-mail</x:v>
      </x:c>
      <x:c r="I60" s="19" t="str">
        <x:v>19/09/2026</x:v>
      </x:c>
      <x:c r="J60" s="18" t="str">
        <x:v>E-mail de 18/09 confirma inscrição nesta mesma vaga. A página aberta era um segundo formulário vazio, duplicado da candidatura já confirmada, e foi fechada para preservar memória.</x:v>
      </x:c>
      <x:c r="K60" s="24" t="str">
        <x:v>Sim — recibo 18/09</x:v>
      </x:c>
      <x:c r="L60" t="n">
        <x:f>IF(LEFT(K60,3)="Sim",1,0)+IF(LEFT(K60,6)="Portal",1,0)</x:f>
        <x:v>1</x:v>
      </x:c>
      <x:c r="M60" t="n">
        <x:f>IF(LEFT(A60,8)="Pendente",1,0)</x:f>
        <x:v>0</x:v>
      </x:c>
    </x:row>
    <x:row r="61" ht="60" customHeight="1">
      <x:c r="A61" s="23" t="str">
        <x:v>Enviada</x:v>
      </x:c>
      <x:c r="B61" s="15" t="str">
        <x:v>C6 Bank</x:v>
      </x:c>
      <x:c r="C61" s="15" t="str">
        <x:v>Analytics Engineer | Dados</x:v>
      </x:c>
      <x:c r="D61" s="15" t="str">
        <x:v>Dados e engenharia</x:v>
      </x:c>
      <x:c r="E61" s="15" t="str">
        <x:v>São Paulo/SP, presencial</x:v>
      </x:c>
      <x:c r="F61" s="16" t="str">
        <x:v>https://job-boards.greenhouse.io/c6bank/jobs/4714651005</x:v>
      </x:c>
      <x:c r="G61" s="18" t="str">
        <x:v>Não aplicável</x:v>
      </x:c>
      <x:c r="H61" s="18" t="str">
        <x:v>Acompanhar via MyGreenhouse</x:v>
      </x:c>
      <x:c r="I61" s="19" t="str">
        <x:v>19/09/2026</x:v>
      </x:c>
      <x:c r="J61" s="18" t="str">
        <x:v>Recibo de candidatura por e-mail localizado em 18/09. Currículo premium e carta personalizada anexados. SQL, PostgreSQL, Python e GCP declarados de forma factual; modelagem dimensional, governança e ágil foram apresentados como frentes de aprofundamento. Sinal público de Data Engineer no C6: cerca de R$9,5 mil; referência de negociação: R$8,5 mil.</x:v>
      </x:c>
      <x:c r="K61" s="24" t="str">
        <x:v>Sim — recibo 18/09</x:v>
      </x:c>
      <x:c r="L61" t="n">
        <x:f>IF(LEFT(K61,3)="Sim",1,0)+IF(LEFT(K61,6)="Portal",1,0)</x:f>
        <x:v>1</x:v>
      </x:c>
      <x:c r="M61" t="n">
        <x:f>IF(LEFT(A61,8)="Pendente",1,0)</x:f>
        <x:v>0</x:v>
      </x:c>
    </x:row>
    <x:row r="62" ht="60" customHeight="1">
      <x:c r="A62" s="23" t="str">
        <x:v>Concluída — formulário técnico</x:v>
      </x:c>
      <x:c r="B62" s="15" t="str">
        <x:v>#sejaveriter</x:v>
      </x:c>
      <x:c r="C62" s="15" t="str">
        <x:v>.NET Backend Developer Pleno</x:v>
      </x:c>
      <x:c r="D62" s="15" t="str">
        <x:v>Desenvolvimento</x:v>
      </x:c>
      <x:c r="E62" s="15" t="str">
        <x:v>Remoto</x:v>
      </x:c>
      <x:c r="F62" s="16" t="str">
        <x:v>Acessar na plataforma (link privado removido)</x:v>
      </x:c>
      <x:c r="G62" s="18" t="str">
        <x:v>Sem audiovisual exibido</x:v>
      </x:c>
      <x:c r="H62" s="18" t="str">
        <x:v>Acompanhar Entrevista RH; validar o formato antes de iniciar qualquer etapa</x:v>
      </x:c>
      <x:c r="I62" s="19" t="str">
        <x:v>21/09/2026</x:v>
      </x:c>
      <x:c r="J62" s="18" t="str">
        <x:v>Formulário técnico .NET (C#) concluído e enviado em 21/09. Eram 20 questões de múltipla escolha com duração máxima de 20 minutos. O portal confirmou progresso 2/7 após o envio. Não houve áudio, vídeo, câmera, microfone ou compartilhamento de tela exibidos nesta etapa.</x:v>
      </x:c>
      <x:c r="K62" s="24" t="str">
        <x:v>Portal — formulário técnico concluído 21/09</x:v>
      </x:c>
      <x:c r="L62" t="n">
        <x:f>IF(LEFT(K62,3)="Sim",1,0)+IF(LEFT(K62,6)="Portal",1,0)</x:f>
        <x:v>1</x:v>
      </x:c>
      <x:c r="M62" t="n">
        <x:f>IF(LEFT(A62,8)="Pendente",1,0)</x:f>
        <x:v>0</x:v>
      </x:c>
    </x:row>
    <x:row r="63" ht="60" customHeight="1">
      <x:c r="A63" s="23" t="str">
        <x:v>Pendente — triagem escrita</x:v>
      </x:c>
      <x:c r="B63" s="15" t="str">
        <x:v>CI&amp;T</x:v>
      </x:c>
      <x:c r="C63" s="15" t="str">
        <x:v>Mid-Level I Senior Developer IA (aplicada ao SDLC)</x:v>
      </x:c>
      <x:c r="D63" s="15" t="str">
        <x:v>Desenvolvimento e IA</x:v>
      </x:c>
      <x:c r="E63" s="15" t="str">
        <x:v>Brasil</x:v>
      </x:c>
      <x:c r="F63" s="16" t="str">
        <x:v>Pendente — convite Digaí</x:v>
      </x:c>
      <x:c r="G63" s="18" t="str">
        <x:v>Sem audiovisual declarado; regra externa não declarada</x:v>
      </x:c>
      <x:c r="H63" s="18" t="str">
        <x:v>Validar regra no Digaí; não responder com assistência externa</x:v>
      </x:c>
      <x:c r="I63" s="19" t="str">
        <x:v>19/09/2026</x:v>
      </x:c>
      <x:c r="J63" s="18" t="str">
        <x:v>Último lembrete recebido em 18/09. Convite indica quatro perguntas técnicas escritas, até cinco minutos por pergunta e três tentativas, via WhatsApp ou página web. O lembrete fala em entrevista por mensagem, sem chamada/horário. Não há autorização explícita para assistência externa; não declarar senioridade que não possui.</x:v>
      </x:c>
      <x:c r="K63" s="24" t="str">
        <x:v>Sim — recibo 16/09</x:v>
      </x:c>
      <x:c r="L63" t="n">
        <x:f>IF(LEFT(K63,3)="Sim",1,0)+IF(LEFT(K63,6)="Portal",1,0)</x:f>
        <x:v>1</x:v>
      </x:c>
      <x:c r="M63" t="n">
        <x:f>IF(LEFT(A63,8)="Pendente",1,0)</x:f>
        <x:v>1</x:v>
      </x:c>
    </x:row>
    <x:row r="64" ht="60" customHeight="1">
      <x:c r="A64" s="23" t="str">
        <x:v>Pendente — triagem escrita</x:v>
      </x:c>
      <x:c r="B64" s="15" t="str">
        <x:v>CI&amp;T</x:v>
      </x:c>
      <x:c r="C64" s="15" t="str">
        <x:v>Mid-Level/Senior Cloud Application — GoLang/Python</x:v>
      </x:c>
      <x:c r="D64" s="15" t="str">
        <x:v>Cloud e desenvolvimento</x:v>
      </x:c>
      <x:c r="E64" s="15" t="str">
        <x:v>Brasil (convite Digaí)</x:v>
      </x:c>
      <x:c r="F64" s="16" t="str">
        <x:v>Pendente — convite Digaí</x:v>
      </x:c>
      <x:c r="G64" s="18" t="str">
        <x:v>Sem audiovisual declarado; regra externa não declarada</x:v>
      </x:c>
      <x:c r="H64" s="18" t="str">
        <x:v>Validar regra no Digaí; não responder com assistência externa</x:v>
      </x:c>
      <x:c r="I64" s="19" t="str">
        <x:v>19/09/2026</x:v>
      </x:c>
      <x:c r="J64" s="18" t="str">
        <x:v>Convite de triagem técnica via Digaí: quatro perguntas escritas, até cinco minutos por pergunta e três tentativas. E-mail não cita áudio, vídeo, câmera, microfone, prazo ou regra de assistência. Título acima do nível atual; não alegar experiência profissional em Go ou senioridade.</x:v>
      </x:c>
      <x:c r="K64" s="24" t="str">
        <x:v>E-mail — triagem pendente</x:v>
      </x:c>
      <x:c r="L64" t="n">
        <x:f>IF(LEFT(K64,3)="Sim",1,0)+IF(LEFT(K64,6)="Portal",1,0)</x:f>
        <x:v>0</x:v>
      </x:c>
      <x:c r="M64" t="n">
        <x:f>IF(LEFT(A64,8)="Pendente",1,0)</x:f>
        <x:v>1</x:v>
      </x:c>
    </x:row>
    <x:row r="65" ht="60" customHeight="1">
      <x:c r="A65" s="23" t="str">
        <x:v>Pendente — triagem escrita</x:v>
      </x:c>
      <x:c r="B65" s="15" t="str">
        <x:v>CI&amp;T</x:v>
      </x:c>
      <x:c r="C65" s="15" t="str">
        <x:v>Mid-Level Developer Backend — Python + FastAPI</x:v>
      </x:c>
      <x:c r="D65" s="15" t="str">
        <x:v>Desenvolvimento</x:v>
      </x:c>
      <x:c r="E65" s="15" t="str">
        <x:v>Brasil (convite Digaí)</x:v>
      </x:c>
      <x:c r="F65" s="16" t="str">
        <x:v>Pendente — convite Digaí</x:v>
      </x:c>
      <x:c r="G65" s="18" t="str">
        <x:v>Sem audiovisual declarado; regra externa não declarada</x:v>
      </x:c>
      <x:c r="H65" s="18" t="str">
        <x:v>Validar regra no Digaí; não responder com assistência externa</x:v>
      </x:c>
      <x:c r="I65" s="19" t="str">
        <x:v>19/09/2026</x:v>
      </x:c>
      <x:c r="J65" s="18" t="str">
        <x:v>Convite de triagem técnica via Digaí: quatro perguntas escritas, até cinco minutos por pergunta e três tentativas. E-mail não cita áudio, vídeo, câmera, microfone, prazo ou regra de assistência. Título acima do nível atual; não alegar experiência profissional em FastAPI se não houver evidência.</x:v>
      </x:c>
      <x:c r="K65" s="24" t="str">
        <x:v>E-mail — triagem pendente</x:v>
      </x:c>
      <x:c r="L65" t="n">
        <x:f>IF(LEFT(K65,3)="Sim",1,0)+IF(LEFT(K65,6)="Portal",1,0)</x:f>
        <x:v>0</x:v>
      </x:c>
      <x:c r="M65" t="n">
        <x:f>IF(LEFT(A65,8)="Pendente",1,0)</x:f>
        <x:v>1</x:v>
      </x:c>
    </x:row>
    <x:row r="66" ht="60" customHeight="1">
      <x:c r="A66" s="23" t="str">
        <x:v>Concluída — comportamento</x:v>
      </x:c>
      <x:c r="B66" s="15" t="str">
        <x:v>Associação Mário Penna</x:v>
      </x:c>
      <x:c r="C66" s="15" t="str">
        <x:v>Analista de Sistemas Júnior</x:v>
      </x:c>
      <x:c r="D66" s="15" t="str">
        <x:v>Desenvolvimento</x:v>
      </x:c>
      <x:c r="E66" s="15" t="str">
        <x:v>Belo Horizonte/MG</x:v>
      </x:c>
      <x:c r="F66" s="16" t="str">
        <x:v>Acessar na plataforma (link privado removido)</x:v>
      </x:c>
      <x:c r="G66" s="18" t="str">
        <x:v>Sem audiovisual</x:v>
      </x:c>
      <x:c r="H66" s="18" t="str">
        <x:v>Aguardar Entrevista com RH; não iniciar etapa audiovisual</x:v>
      </x:c>
      <x:c r="I66" s="19" t="str">
        <x:v>19/09/2026</x:v>
      </x:c>
      <x:c r="J66" s="18" t="str">
        <x:v>A Avaliação Comportamental foi aberta em 19/09 e a plataforma ofereceu reaproveitar o resultado genuíno já realizado no mesmo dia. Foi escolhido o reaproveitamento; a plataforma confirmou ‘Teste reaproveitado com sucesso’. Não houve áudio, vídeo, câmera, microfone ou gravação. Próximas fases: Entrevista com RH e Entrevista com Gestor.</x:v>
      </x:c>
      <x:c r="K66" s="24" t="str">
        <x:v>Portal — comportamento 19/09</x:v>
      </x:c>
      <x:c r="L66" t="n">
        <x:f>IF(LEFT(K66,3)="Sim",1,0)+IF(LEFT(K66,6)="Portal",1,0)</x:f>
        <x:v>1</x:v>
      </x:c>
      <x:c r="M66" t="n">
        <x:f>IF(LEFT(A66,8)="Pendente",1,0)</x:f>
        <x:v>0</x:v>
      </x:c>
    </x:row>
    <x:row r="67" ht="60" customHeight="1">
      <x:c r="A67" s="23" t="str">
        <x:v>Pendente — avaliação pessoal</x:v>
      </x:c>
      <x:c r="B67" s="15" t="str">
        <x:v>Grupo Breitkopf / Volkswagen</x:v>
      </x:c>
      <x:c r="C67" s="15" t="str">
        <x:v>Desenvolvedor(a) RPA Júnior</x:v>
      </x:c>
      <x:c r="D67" s="15" t="str">
        <x:v>Automação</x:v>
      </x:c>
      <x:c r="E67" s="15" t="str">
        <x:v>Blumenau/SC</x:v>
      </x:c>
      <x:c r="F67" s="16" t="str">
        <x:v>Acessar na plataforma (link privado removido)</x:v>
      </x:c>
      <x:c r="G67" s="18" t="str">
        <x:v>Sem audiovisual indicado antes do início</x:v>
      </x:c>
      <x:c r="H67" s="18" t="str">
        <x:v>Responder pessoalmente ao mapeamento comportamental; não iniciar com respostas fabricadas</x:v>
      </x:c>
      <x:c r="I67" s="19" t="str">
        <x:v>21/09/2026</x:v>
      </x:c>
      <x:c r="J67" s="18" t="str">
        <x:v>Portal revisado em 21/09: a etapa 2/5 é ‘Metodologia Comportamental’, com apenas o botão ‘Iniciar teste’. E-mail e portal não indicam áudio, vídeo, câmera ou microfone antes do início. A etapa não foi iniciada porque avalia o perfil comportamental do candidato; experiência profissional em RPA não foi alegada.</x:v>
      </x:c>
      <x:c r="K67" s="24" t="str">
        <x:v>Portal — etapa por e-mail</x:v>
      </x:c>
      <x:c r="L67" t="n">
        <x:f>IF(LEFT(K67,3)="Sim",1,0)+IF(LEFT(K67,6)="Portal",1,0)</x:f>
        <x:v>1</x:v>
      </x:c>
      <x:c r="M67" t="n">
        <x:f>IF(LEFT(A67,8)="Pendente",1,0)</x:f>
        <x:v>1</x:v>
      </x:c>
    </x:row>
    <x:row r="68" ht="60" customHeight="1">
      <x:c r="A68" s="23" t="str">
        <x:v>Excluída — fora do escopo</x:v>
      </x:c>
      <x:c r="B68" s="15" t="str">
        <x:v>Rede D’Or</x:v>
      </x:c>
      <x:c r="C68" s="15" t="str">
        <x:v>Analista Suporte JR | Tecnologia da Informação | Morumbi</x:v>
      </x:c>
      <x:c r="D68" s="15" t="str">
        <x:v>Suporte</x:v>
      </x:c>
      <x:c r="E68" s="15" t="str">
        <x:v>São Paulo/SP</x:v>
      </x:c>
      <x:c r="F68" s="16" t="str">
        <x:v>Pendente — convite DISC Gupy</x:v>
      </x:c>
      <x:c r="G68" s="18" t="str">
        <x:v>Sem audiovisual declarado</x:v>
      </x:c>
      <x:c r="H68" s="18" t="str">
        <x:v>Não realizar; vaga de suporte fora do escopo definido</x:v>
      </x:c>
      <x:c r="I68" s="19" t="str">
        <x:v>19/09/2026</x:v>
      </x:c>
      <x:c r="J68" s="18" t="str">
        <x:v>Avaliação comportamental DISC textual liberada, com prazo de 24 horas e sem referência a audiovisual ou regra de assistência no e-mail. A vaga é de suporte, área excluída pela preferência definida.</x:v>
      </x:c>
      <x:c r="K68" s="24" t="str">
        <x:v>E-mail — etapa fora do escopo</x:v>
      </x:c>
      <x:c r="L68" t="n">
        <x:f>IF(LEFT(K68,3)="Sim",1,0)+IF(LEFT(K68,6)="Portal",1,0)</x:f>
        <x:v>0</x:v>
      </x:c>
      <x:c r="M68" t="n">
        <x:f>IF(LEFT(A68,8)="Pendente",1,0)</x:f>
        <x:v>0</x:v>
      </x:c>
    </x:row>
    <x:row r="69" ht="60" customHeight="1">
      <x:c r="A69" s="23" t="str">
        <x:v>Aprovada — aguarda decisão</x:v>
      </x:c>
      <x:c r="B69" s="15" t="str">
        <x:v>Anyone AI</x:v>
      </x:c>
      <x:c r="C69" s="15" t="str">
        <x:v>Software Engineer Project / Expert Network</x:v>
      </x:c>
      <x:c r="D69" s="15" t="str">
        <x:v>IA e dados</x:v>
      </x:c>
      <x:c r="E69" s="15" t="str">
        <x:v>Remoto / internacional</x:v>
      </x:c>
      <x:c r="F69" s="16" t="str">
        <x:v>Pendente — e-mails de projeto/onboarding</x:v>
      </x:c>
      <x:c r="G69" s="18" t="str">
        <x:v>Sessão Zoom mencionada; avaliação audiovisual não declarada</x:v>
      </x:c>
      <x:c r="H69" s="18" t="str">
        <x:v>Decidir pessoalmente sobre aceite, Zoom e onboarding</x:v>
      </x:c>
      <x:c r="I69" s="19" t="str">
        <x:v>19/09/2026</x:v>
      </x:c>
      <x:c r="J69" s="18" t="str">
        <x:v>E-mail de 18/09 informa aprovação da candidatura para Software Engineer Project. Não há ação explícita nesse recibo. A rede Expert já consta como aceita; há convite de projeto LinkedIn que pede aceite e sessão Zoom em 21/09, 13h–14h AMT, além de disponibilidade para onboarding. Nada foi aceito, respondido ou aberto.</x:v>
      </x:c>
      <x:c r="K69" s="24" t="str">
        <x:v>Sim — aprovação 18/09</x:v>
      </x:c>
      <x:c r="L69" t="n">
        <x:f>IF(LEFT(K69,3)="Sim",1,0)+IF(LEFT(K69,6)="Portal",1,0)</x:f>
        <x:v>1</x:v>
      </x:c>
      <x:c r="M69" t="n">
        <x:f>IF(LEFT(A69,8)="Pendente",1,0)</x:f>
        <x:v>0</x:v>
      </x:c>
    </x:row>
    <x:row r="70" ht="60" customHeight="1">
      <x:c r="A70" s="23" t="str">
        <x:v>Pendente — pagamento e autorização</x:v>
      </x:c>
      <x:c r="B70" s="15" t="str">
        <x:v>LinkedIn AI Trainer Program / GreenLight</x:v>
      </x:c>
      <x:c r="C70" s="15" t="str">
        <x:v>AI Trainer — contractor onboarding</x:v>
      </x:c>
      <x:c r="D70" s="15" t="str">
        <x:v>IA e dados</x:v>
      </x:c>
      <x:c r="E70" s="15" t="str">
        <x:v>Remoto / internacional</x:v>
      </x:c>
      <x:c r="F70" s="16" t="str">
        <x:v>Pendente — GreenLight (formulário aberto)</x:v>
      </x:c>
      <x:c r="G70" s="18" t="str">
        <x:v>Não informado</x:v>
      </x:c>
      <x:c r="H70" s="18" t="str">
        <x:v>Definir endereço, forma de pagamento e certificação de autorização de trabalho</x:v>
      </x:c>
      <x:c r="I70" s="19" t="str">
        <x:v>19/09/2026</x:v>
      </x:c>
      <x:c r="J70" s="18" t="str">
        <x:v>Cadastro de prestador independente salvo e fluxo avançado em 19/09. A tela atual pede endereço completo, escolha/configuração de pagamento (carteira digital ou conta bancária) e certificação de autorização de trabalho. Nenhum dado bancário, endereço ou declaração legal foi inventado; página preservada para decisão do candidato.</x:v>
      </x:c>
      <x:c r="K70" s="24" t="str">
        <x:v>Não aplicável — não enviada</x:v>
      </x:c>
      <x:c r="L70" t="n">
        <x:f>IF(LEFT(K70,3)="Sim",1,0)+IF(LEFT(K70,6)="Portal",1,0)</x:f>
        <x:v>0</x:v>
      </x:c>
      <x:c r="M70" t="n">
        <x:f>IF(LEFT(A70,8)="Pendente",1,0)</x:f>
        <x:v>1</x:v>
      </x:c>
    </x:row>
    <x:row r="71" ht="60" customHeight="1">
      <x:c r="A71" s="23" t="str">
        <x:v>Concluída — perfil</x:v>
      </x:c>
      <x:c r="B71" s="15" t="str">
        <x:v>Catho</x:v>
      </x:c>
      <x:c r="C71" s="15" t="str">
        <x:v>Currículos nativos Profissional e Estagiário</x:v>
      </x:c>
      <x:c r="D71" s="15" t="str">
        <x:v>Perfil e currículo</x:v>
      </x:c>
      <x:c r="E71" s="15" t="str">
        <x:v>Catho</x:v>
      </x:c>
      <x:c r="F71" s="16" t="str">
        <x:v>https://www.catho.com.br/</x:v>
      </x:c>
      <x:c r="G71" s="18" t="str">
        <x:v>Não aplicável</x:v>
      </x:c>
      <x:c r="H71" s="18" t="str">
        <x:v>Acompanhar oportunidades elegíveis</x:v>
      </x:c>
      <x:c r="I71" s="19" t="str">
        <x:v>19/09/2026</x:v>
      </x:c>
      <x:c r="J71" s="18" t="str">
        <x:v>Os dois currículos nativos foram atualizados e confirmados: objetivo técnico, experiência atual em software, ADS em andamento, idiomas e stack factual. A plataforma informa que upload de CV externo foi desativado; o currículo nativo é o ativo.</x:v>
      </x:c>
      <x:c r="K71" s="24" t="str">
        <x:v>Não localizado — auditoria 19/09</x:v>
      </x:c>
      <x:c r="L71" t="n">
        <x:f>IF(LEFT(K71,3)="Sim",1,0)+IF(LEFT(K71,6)="Portal",1,0)</x:f>
        <x:v>0</x:v>
      </x:c>
      <x:c r="M71" t="n">
        <x:f>IF(LEFT(A71,8)="Pendente",1,0)</x:f>
        <x:v>0</x:v>
      </x:c>
    </x:row>
    <x:row r="72" ht="60" customHeight="1">
      <x:c r="A72" s="23" t="str">
        <x:v>Concluída — perfil</x:v>
      </x:c>
      <x:c r="B72" s="15" t="str">
        <x:v>InfoJobs</x:v>
      </x:c>
      <x:c r="C72" s="15" t="str">
        <x:v>Currículo nativo</x:v>
      </x:c>
      <x:c r="D72" s="15" t="str">
        <x:v>Perfil e currículo</x:v>
      </x:c>
      <x:c r="E72" s="15" t="str">
        <x:v>InfoJobs</x:v>
      </x:c>
      <x:c r="F72" s="16" t="str">
        <x:v>https://www.infojobs.com.br/</x:v>
      </x:c>
      <x:c r="G72" s="18" t="str">
        <x:v>Não aplicável</x:v>
      </x:c>
      <x:c r="H72" s="18" t="str">
        <x:v>Acompanhar oportunidades elegíveis</x:v>
      </x:c>
      <x:c r="I72" s="19" t="str">
        <x:v>19/09/2026</x:v>
      </x:c>
      <x:c r="J72" s="18" t="str">
        <x:v>Currículo nativo atualizado e persistência confirmada por visualização pública: perfil técnico, experiência freelance, ADS, idiomas, objetivos de TI, disponibilidade para mudança e competências factuais. Não houve candidatura nem teste.</x:v>
      </x:c>
      <x:c r="K72" s="24" t="str">
        <x:v>Não localizado — auditoria 19/09</x:v>
      </x:c>
      <x:c r="L72" t="n">
        <x:f>IF(LEFT(K72,3)="Sim",1,0)+IF(LEFT(K72,6)="Portal",1,0)</x:f>
        <x:v>0</x:v>
      </x:c>
      <x:c r="M72" t="n">
        <x:f>IF(LEFT(A72,8)="Pendente",1,0)</x:f>
        <x:v>0</x:v>
      </x:c>
    </x:row>
    <x:row r="73" ht="60" customHeight="1">
      <x:c r="A73" s="23" t="str">
        <x:v>Enviada</x:v>
      </x:c>
      <x:c r="B73" s="15" t="str">
        <x:v>Nubank</x:v>
      </x:c>
      <x:c r="C73" s="15" t="str">
        <x:v>Candidatura confirmada — vaga não identificada</x:v>
      </x:c>
      <x:c r="D73" s="15" t="str">
        <x:v>Tecnologia (a confirmar)</x:v>
      </x:c>
      <x:c r="E73" s="15" t="str">
        <x:v>Não informado</x:v>
      </x:c>
      <x:c r="F73" s="16" t="str">
        <x:v>Pendente — e-mail Nubank</x:v>
      </x:c>
      <x:c r="G73" s="18" t="str">
        <x:v>Não aplicável</x:v>
      </x:c>
      <x:c r="H73" s="18" t="str">
        <x:v>Aguardar contato ou identificar vaga pelo recibo</x:v>
      </x:c>
      <x:c r="I73" s="19" t="str">
        <x:v>19/09/2026</x:v>
      </x:c>
      <x:c r="J73" s="18" t="str">
        <x:v>E-mail confirma recebimento de candidatura, mas não informa título ou código da vaga. Não atribuir uma função sem evidência.</x:v>
      </x:c>
      <x:c r="K73" s="24" t="str">
        <x:v>Sim — recibo 17/09</x:v>
      </x:c>
      <x:c r="L73" t="n">
        <x:f>IF(LEFT(K73,3)="Sim",1,0)+IF(LEFT(K73,6)="Portal",1,0)</x:f>
        <x:v>1</x:v>
      </x:c>
      <x:c r="M73" t="n">
        <x:f>IF(LEFT(A73,8)="Pendente",1,0)</x:f>
        <x:v>0</x:v>
      </x:c>
    </x:row>
    <x:row r="74" ht="60" customHeight="1">
      <x:c r="A74" s="23" t="str">
        <x:v>Enviada</x:v>
      </x:c>
      <x:c r="B74" s="15" t="str">
        <x:v>Oowlish</x:v>
      </x:c>
      <x:c r="C74" s="15" t="str">
        <x:v>Full Stack Web Engineer (Python &amp; React)</x:v>
      </x:c>
      <x:c r="D74" s="15" t="str">
        <x:v>Desenvolvimento</x:v>
      </x:c>
      <x:c r="E74" s="15" t="str">
        <x:v>Remoto / internacional</x:v>
      </x:c>
      <x:c r="F74" s="16" t="str">
        <x:v>Pendente — e-mail Oowlish</x:v>
      </x:c>
      <x:c r="G74" s="18" t="str">
        <x:v>Não aplicável</x:v>
      </x:c>
      <x:c r="H74" s="18" t="str">
        <x:v>Acompanhar e-mail</x:v>
      </x:c>
      <x:c r="I74" s="19" t="str">
        <x:v>19/09/2026</x:v>
      </x:c>
      <x:c r="J74" s="18" t="str">
        <x:v>E-mail de recebimento de candidatura confirmado; não há etapa ou ação solicitada nesta auditoria.</x:v>
      </x:c>
      <x:c r="K74" s="24" t="str">
        <x:v>Sim — recibo 19/09</x:v>
      </x:c>
      <x:c r="L74" t="n">
        <x:f>IF(LEFT(K74,3)="Sim",1,0)+IF(LEFT(K74,6)="Portal",1,0)</x:f>
        <x:v>1</x:v>
      </x:c>
      <x:c r="M74" t="n">
        <x:f>IF(LEFT(A74,8)="Pendente",1,0)</x:f>
        <x:v>0</x:v>
      </x:c>
    </x:row>
    <x:row r="75" ht="60" customHeight="1">
      <x:c r="A75" s="23" t="str">
        <x:v>Enviada</x:v>
      </x:c>
      <x:c r="B75" s="15" t="str">
        <x:v>Valid</x:v>
      </x:c>
      <x:c r="C75" s="15" t="str">
        <x:v>Software Engineer Pleno</x:v>
      </x:c>
      <x:c r="D75" s="15" t="str">
        <x:v>Desenvolvimento</x:v>
      </x:c>
      <x:c r="E75" s="15" t="str">
        <x:v>Remoto, efetivo — residência em São Paulo solicitada</x:v>
      </x:c>
      <x:c r="F75" s="16" t="str">
        <x:v>Acessar na plataforma (link privado removido)</x:v>
      </x:c>
      <x:c r="G75" s="18" t="str">
        <x:v>Não aplicável nesta etapa</x:v>
      </x:c>
      <x:c r="H75" s="18" t="str">
        <x:v>Acompanhar retorno; revisar regras antes de eventual teste/case</x:v>
      </x:c>
      <x:c r="I75" s="19" t="str">
        <x:v>19/09/2026</x:v>
      </x:c>
      <x:c r="J75" s="18" t="str">
        <x:v>Candidatura finalizada e confirmada pela Gupy em 19/09. Apresentação personalizada e factual: C#/.NET, ASP.NET Core, APIs REST, PostgreSQL, Docker, testes, GCP/CI-CD e projetos React/TypeScript; foi deixado claro que NestJS, Jest, Playwright e MongoDB ainda estão em consolidação. Pretensão enviada: R$ 9 mil CLT/mês, negociável. O fluxo posterior menciona triagem, entrevistas e teste/case opcional; nenhuma etapa audiovisual ou teste foi iniciado.</x:v>
      </x:c>
      <x:c r="K75" s="24" t="str">
        <x:v>Portal — confirmação Gupy 19/09</x:v>
      </x:c>
      <x:c r="L75" t="n">
        <x:f>IF(LEFT(K75,3)="Sim",1,0)+IF(LEFT(K75,6)="Portal",1,0)</x:f>
        <x:v>1</x:v>
      </x:c>
      <x:c r="M75" t="n">
        <x:f>IF(LEFT(A75,8)="Pendente",1,0)</x:f>
        <x:v>0</x:v>
      </x:c>
    </x:row>
    <x:row r="76" ht="60" customHeight="1">
      <x:c r="A76" s="23" t="str">
        <x:v>Concluída — compliance</x:v>
      </x:c>
      <x:c r="B76" s="15" t="str">
        <x:v>Eletromídia</x:v>
      </x:c>
      <x:c r="C76" s="15" t="str">
        <x:v>Desenvolvedor(a) Full-Stack Pleno — Sustentação e Automação com IA (4YouSee)</x:v>
      </x:c>
      <x:c r="D76" s="15" t="str">
        <x:v>Desenvolvimento e IA</x:v>
      </x:c>
      <x:c r="E76" s="15" t="str">
        <x:v>Belo Horizonte/MG, híbrido, efetivo</x:v>
      </x:c>
      <x:c r="F76" s="16" t="str">
        <x:v>Acessar na plataforma (link privado removido)</x:v>
      </x:c>
      <x:c r="G76" s="18" t="str">
        <x:v>Sem audiovisual nesta etapa</x:v>
      </x:c>
      <x:c r="H76" s="18" t="str">
        <x:v>Aguardar Bate-papo R&amp;S; não iniciar eventual etapa audiovisual</x:v>
      </x:c>
      <x:c r="I76" s="19" t="str">
        <x:v>19/09/2026</x:v>
      </x:c>
      <x:c r="J76" s="18" t="str">
        <x:v>Candidatura finalizada e confirmada pela Gupy em 19/09. O Questionário de Compliance (9 respostas escritas) foi concluído de forma factual, sem câmera, microfone, áudio, vídeo ou compartilhamento de tela. Declarações não foram inventadas: a atuação atual foi descrita como freelance, sem criar CNPJ ou vínculo societário. Próximas fases: Bate-papo R&amp;S e Bate-papo Liderança.</x:v>
      </x:c>
      <x:c r="K76" s="24" t="str">
        <x:v>Portal — compliance 19/09</x:v>
      </x:c>
      <x:c r="L76" t="n">
        <x:f>IF(LEFT(K76,3)="Sim",1,0)+IF(LEFT(K76,6)="Portal",1,0)</x:f>
        <x:v>1</x:v>
      </x:c>
      <x:c r="M76" t="n">
        <x:f>IF(LEFT(A76,8)="Pendente",1,0)</x:f>
        <x:v>0</x:v>
      </x:c>
    </x:row>
    <x:row r="77" ht="60" customHeight="1">
      <x:c r="A77" s="23" t="str">
        <x:v>Pendente — requisito incompatível</x:v>
      </x:c>
      <x:c r="B77" s="15" t="str">
        <x:v>Seu Futuro Começa Aqui / Diagonal</x:v>
      </x:c>
      <x:c r="C77" s="15" t="str">
        <x:v>Desenvolvedor(a) Full Stack</x:v>
      </x:c>
      <x:c r="D77" s="15" t="str">
        <x:v>Desenvolvimento</x:v>
      </x:c>
      <x:c r="E77" s="15" t="str">
        <x:v>Remoto, PJ</x:v>
      </x:c>
      <x:c r="F77" s="16" t="str">
        <x:v>Acessar na plataforma (link privado removido)</x:v>
      </x:c>
      <x:c r="G77" s="18" t="str">
        <x:v>Sem audiovisual na etapa atual</x:v>
      </x:c>
      <x:c r="H77" s="18" t="str">
        <x:v>Não enviar enquanto o formulário exigir tempo de Node.js inexistente</x:v>
      </x:c>
      <x:c r="I77" s="19" t="str">
        <x:v>19/09/2026</x:v>
      </x:c>
      <x:c r="J77" s="18" t="str">
        <x:v>Formulário chegou às perguntas obrigatórias, mas a experiência em Node.js só aceita opções a partir de 1–2 anos, sem opção compatível com zero experiência prática. A vaga pede Node.js, React/Svelte/Laravel e PostgreSQL/MySQL. Nenhuma resposta irreversível foi enviada nem foi declarada experiência falsa. Pesquisa pública indicou referência PJ remoto pleno ampla (aprox. R$ 7,5–13 mil), mas nenhuma pretensão foi preenchida.</x:v>
      </x:c>
      <x:c r="K77" s="24" t="str">
        <x:v>E-mail recebido — não finalizada</x:v>
      </x:c>
      <x:c r="L77" t="n">
        <x:f>IF(LEFT(K77,3)="Sim",1,0)+IF(LEFT(K77,6)="Portal",1,0)</x:f>
        <x:v>0</x:v>
      </x:c>
      <x:c r="M77" t="n">
        <x:f>IF(LEFT(A77,8)="Pendente",1,0)</x:f>
        <x:v>1</x:v>
      </x:c>
    </x:row>
    <x:row r="78" ht="60" customHeight="1">
      <x:c r="A78" s="23" t="str">
        <x:v>Pendente — teste C# pessoal</x:v>
      </x:c>
      <x:c r="B78" s="15" t="str">
        <x:v>BairesDev</x:v>
      </x:c>
      <x:c r="C78" s="15" t="str">
        <x:v>Junior .NET Developer — Remote</x:v>
      </x:c>
      <x:c r="D78" s="15" t="str">
        <x:v>Desenvolvimento</x:v>
      </x:c>
      <x:c r="E78" s="15" t="str">
        <x:v>Remoto, Brasil / internacional</x:v>
      </x:c>
      <x:c r="F78" s="16" t="str">
        <x:v>https://applicants.bairesdev.com/job/1/279586/apply</x:v>
      </x:c>
      <x:c r="G78" s="18" t="str">
        <x:v>Sem audiovisual; IA e ajuda externa proibidas</x:v>
      </x:c>
      <x:c r="H78" s="18" t="str">
        <x:v>Realizar pessoalmente se desejar; manter C# Proficiency e Coding Challenge separados</x:v>
      </x:c>
      <x:c r="I78" s="19" t="str">
        <x:v>19/09/2026</x:v>
      </x:c>
      <x:c r="J78" s="18" t="str">
        <x:v>Portal autenticado mostrou candidatura ativa e os testes .NET/C#/VB.NET. A introdução do C# Proficiency Test (estimativa de 9 min) declara que uso de IA ou qualquer ajuda externa não é permitido. A página foi retornada antes de ‘Continue’: nenhuma questão, cronômetro, áudio, vídeo, câmera, microfone ou compartilhamento de tela foi iniciado. C# é aderente ao perfil; VB.NET não foi iniciado por não haver experiência comprovada.</x:v>
      </x:c>
      <x:c r="K78" s="24" t="str">
        <x:v>Portal — candidatura ativa 19/09</x:v>
      </x:c>
      <x:c r="L78" t="n">
        <x:f>IF(LEFT(K78,3)="Sim",1,0)+IF(LEFT(K78,6)="Portal",1,0)</x:f>
        <x:v>1</x:v>
      </x:c>
      <x:c r="M78" t="n">
        <x:f>IF(LEFT(A78,8)="Pendente",1,0)</x:f>
        <x:v>1</x:v>
      </x:c>
    </x:row>
    <x:row r="79" ht="60" customHeight="1">
      <x:c r="A79" s="23" t="str">
        <x:v>Excluída — fora do escopo</x:v>
      </x:c>
      <x:c r="B79" s="15" t="str">
        <x:v>St. Marche Supermercados</x:v>
      </x:c>
      <x:c r="C79" s="15" t="str">
        <x:v>Analista de Suporte Técnico JR (Help desk)</x:v>
      </x:c>
      <x:c r="D79" s="15" t="str">
        <x:v>Suporte</x:v>
      </x:c>
      <x:c r="E79" s="15" t="str">
        <x:v>Não informado</x:v>
      </x:c>
      <x:c r="F79" s="16" t="str">
        <x:v>Pendente — e-mail Gupy</x:v>
      </x:c>
      <x:c r="G79" s="18" t="str">
        <x:v>Não aplicável</x:v>
      </x:c>
      <x:c r="H79" s="18" t="str">
        <x:v>Não enviar</x:v>
      </x:c>
      <x:c r="I79" s="19" t="str">
        <x:v>19/09/2026</x:v>
      </x:c>
      <x:c r="J79" s="18" t="str">
        <x:v>E-mail da Gupy confirma apenas inscrição iniciada e pede para finalizar o cadastro. Vaga excluída por ser suporte/help desk, área fora do escopo definido.</x:v>
      </x:c>
      <x:c r="K79" s="24" t="str">
        <x:v>E-mail recebido — não finalizada</x:v>
      </x:c>
      <x:c r="L79" t="n">
        <x:f>IF(LEFT(K79,3)="Sim",1,0)+IF(LEFT(K79,6)="Portal",1,0)</x:f>
        <x:v>0</x:v>
      </x:c>
      <x:c r="M79" t="n">
        <x:f>IF(LEFT(A79,8)="Pendente",1,0)</x:f>
        <x:v>0</x:v>
      </x:c>
    </x:row>
    <x:row r="80" ht="60" customHeight="1">
      <x:c r="A80" s="23" t="str">
        <x:v>Excluída — fora do escopo</x:v>
      </x:c>
      <x:c r="B80" s="15" t="str">
        <x:v>Stefanini</x:v>
      </x:c>
      <x:c r="C80" s="15" t="str">
        <x:v>ANALISTA SUPORTE JR</x:v>
      </x:c>
      <x:c r="D80" s="15" t="str">
        <x:v>Suporte</x:v>
      </x:c>
      <x:c r="E80" s="15" t="str">
        <x:v>Não informado</x:v>
      </x:c>
      <x:c r="F80" s="16" t="str">
        <x:v>Pendente — e-mail Gupy</x:v>
      </x:c>
      <x:c r="G80" s="18" t="str">
        <x:v>Não aplicável</x:v>
      </x:c>
      <x:c r="H80" s="18" t="str">
        <x:v>Não enviar</x:v>
      </x:c>
      <x:c r="I80" s="19" t="str">
        <x:v>19/09/2026</x:v>
      </x:c>
      <x:c r="J80" s="18" t="str">
        <x:v>E-mail da Gupy confirma apenas inscrição iniciada e pede para finalizar o cadastro. Vaga excluída por ser suporte, área fora do escopo definido.</x:v>
      </x:c>
      <x:c r="K80" s="24" t="str">
        <x:v>E-mail recebido — não finalizada</x:v>
      </x:c>
      <x:c r="L80" t="n">
        <x:f>IF(LEFT(K80,3)="Sim",1,0)+IF(LEFT(K80,6)="Portal",1,0)</x:f>
        <x:v>0</x:v>
      </x:c>
      <x:c r="M80" t="n">
        <x:f>IF(LEFT(A80,8)="Pendente",1,0)</x:f>
        <x:v>0</x:v>
      </x:c>
    </x:row>
    <x:row r="81" ht="60" customHeight="1">
      <x:c r="A81" s="23" t="str">
        <x:v>Excluída — fora do escopo</x:v>
      </x:c>
      <x:c r="B81" s="15" t="str">
        <x:v>Inbrands</x:v>
      </x:c>
      <x:c r="C81" s="15" t="str">
        <x:v>Analista de Suporte Jr</x:v>
      </x:c>
      <x:c r="D81" s="15" t="str">
        <x:v>Suporte</x:v>
      </x:c>
      <x:c r="E81" s="15" t="str">
        <x:v>Não informado</x:v>
      </x:c>
      <x:c r="F81" s="16" t="str">
        <x:v>Pendente — e-mail Gupy</x:v>
      </x:c>
      <x:c r="G81" s="18" t="str">
        <x:v>Não aplicável</x:v>
      </x:c>
      <x:c r="H81" s="18" t="str">
        <x:v>Não enviar</x:v>
      </x:c>
      <x:c r="I81" s="19" t="str">
        <x:v>19/09/2026</x:v>
      </x:c>
      <x:c r="J81" s="18" t="str">
        <x:v>E-mail da Gupy confirma apenas inscrição iniciada e pede para finalizar o cadastro. Vaga excluída por ser suporte, área fora do escopo definido.</x:v>
      </x:c>
      <x:c r="K81" s="24" t="str">
        <x:v>E-mail recebido — não finalizada</x:v>
      </x:c>
      <x:c r="L81" t="n">
        <x:f>IF(LEFT(K81,3)="Sim",1,0)+IF(LEFT(K81,6)="Portal",1,0)</x:f>
        <x:v>0</x:v>
      </x:c>
      <x:c r="M81" t="n">
        <x:f>IF(LEFT(A81,8)="Pendente",1,0)</x:f>
        <x:v>0</x:v>
      </x:c>
    </x:row>
    <x:row r="82" ht="60" customHeight="1">
      <x:c r="A82" s="23" t="str">
        <x:v>Excluída — fora do escopo</x:v>
      </x:c>
      <x:c r="B82" s="15" t="str">
        <x:v>Pet Society</x:v>
      </x:c>
      <x:c r="C82" s="15" t="str">
        <x:v>Analista de Sistemas Junior</x:v>
      </x:c>
      <x:c r="D82" s="15" t="str">
        <x:v>Sistemas corporativos / suporte</x:v>
      </x:c>
      <x:c r="E82" s="15" t="str">
        <x:v>Não informado</x:v>
      </x:c>
      <x:c r="F82" s="16" t="str">
        <x:v>Acessar na plataforma (link privado removido)</x:v>
      </x:c>
      <x:c r="G82" s="18" t="str">
        <x:v>Não aplicável</x:v>
      </x:c>
      <x:c r="H82" s="18" t="str">
        <x:v>Não finalizar</x:v>
      </x:c>
      <x:c r="I82" s="19" t="str">
        <x:v>21/09/2026</x:v>
      </x:c>
      <x:c r="J82" s="18" t="str">
        <x:v>Descrição oficial revisada em 21/09. A função exige suporte/administração de sistemas corporativos, atendimento a usuários, incidentes, ERP, chamados e homologação; excluída pelo foco em suporte e por não ser banco/fintech. Não houve candidatura enviada.</x:v>
      </x:c>
      <x:c r="K82" s="24" t="str">
        <x:v>E-mail recebido — não finalizada</x:v>
      </x:c>
      <x:c r="L82" t="n">
        <x:f>IF(LEFT(K82,3)="Sim",1,0)+IF(LEFT(K82,6)="Portal",1,0)</x:f>
        <x:v>0</x:v>
      </x:c>
      <x:c r="M82" t="n">
        <x:f>IF(LEFT(A82,8)="Pendente",1,0)</x:f>
        <x:v>0</x:v>
      </x:c>
    </x:row>
    <x:row r="83" ht="60" customHeight="1">
      <x:c r="A83" s="23" t="str">
        <x:v>Pendente — requisitos incompatíveis</x:v>
      </x:c>
      <x:c r="B83" s="15" t="str">
        <x:v>Valid</x:v>
      </x:c>
      <x:c r="C83" s="15" t="str">
        <x:v>ANALISTA DE DEVOPS PLENO</x:v>
      </x:c>
      <x:c r="D83" s="15" t="str">
        <x:v>Cloud e DevOps</x:v>
      </x:c>
      <x:c r="E83" s="15" t="str">
        <x:v>Remoto</x:v>
      </x:c>
      <x:c r="F83" s="16" t="str">
        <x:v>Acessar na plataforma (link privado removido)</x:v>
      </x:c>
      <x:c r="G83" s="18" t="str">
        <x:v>Sem audiovisual na etapa atual</x:v>
      </x:c>
      <x:c r="H83" s="18" t="str">
        <x:v>Não finalizar enquanto exigir experiência não comprovada</x:v>
      </x:c>
      <x:c r="I83" s="19" t="str">
        <x:v>19/09/2026</x:v>
      </x:c>
      <x:c r="J83" s="18" t="str">
        <x:v>E-mail da Gupy confirma somente inscrição iniciada. A descrição exige Linux e GCP intermediários, Kubernetes/GKE, Helm, Terraform, redes, IAM, incidentes e DevSecOps. Há aderência parcial em Docker, Cloud Run, CI/CD e Python, mas não há base factual para declarar o conjunto exigido.</x:v>
      </x:c>
      <x:c r="K83" s="24" t="str">
        <x:v>E-mail recebido — não finalizada</x:v>
      </x:c>
      <x:c r="L83" t="n">
        <x:f>IF(LEFT(K83,3)="Sim",1,0)+IF(LEFT(K83,6)="Portal",1,0)</x:f>
        <x:v>0</x:v>
      </x:c>
      <x:c r="M83" t="n">
        <x:f>IF(LEFT(A83,8)="Pendente",1,0)</x:f>
        <x:v>1</x:v>
      </x:c>
    </x:row>
    <x:row r="84" ht="60" customHeight="1">
      <x:c r="A84" s="23" t="str">
        <x:v>Enviada</x:v>
      </x:c>
      <x:c r="B84" s="15" t="str">
        <x:v>Unimed Vale do Sino</x:v>
      </x:c>
      <x:c r="C84" s="15" t="str">
        <x:v>Programador Júnior (RPA)</x:v>
      </x:c>
      <x:c r="D84" s="15" t="str">
        <x:v>Automação</x:v>
      </x:c>
      <x:c r="E84" s="15" t="str">
        <x:v>Remoto; preferência por Porto Alegre/Vale do Sinos</x:v>
      </x:c>
      <x:c r="F84" s="16" t="str">
        <x:v>Acessar na plataforma (link privado removido)</x:v>
      </x:c>
      <x:c r="G84" s="18" t="str">
        <x:v>Sem audiovisual na inscrição; entrevistas posteriores a validar</x:v>
      </x:c>
      <x:c r="H84" s="18" t="str">
        <x:v>Acompanhar e-mail; validar o formato de cada entrevista antes de iniciar</x:v>
      </x:c>
      <x:c r="I84" s="19" t="str">
        <x:v>21/09/2026</x:v>
      </x:c>
      <x:c r="J84" s="18" t="str">
        <x:v>Candidatura personalizada finalizada e confirmada pela Gupy em 21/09. A apresentação destacou projetos próprios em Python, APIs REST, SQL/PostgreSQL, validações e testes, sem alegar AutomationEdge ou experiência profissional em RPA. Habilidades destacadas: SQL, API REST e Python. As respostas obrigatórias já estavam registradas e bloqueadas no portal; a pretensão informada foi 'a partir de R$4 mil'.</x:v>
      </x:c>
      <x:c r="K84" s="24" t="str">
        <x:v>Sim — confirmação Gupy 21/09</x:v>
      </x:c>
      <x:c r="L84" t="n">
        <x:f>IF(LEFT(K84,3)="Sim",1,0)+IF(LEFT(K84,6)="Portal",1,0)</x:f>
        <x:v>1</x:v>
      </x:c>
      <x:c r="M84" t="n">
        <x:f>IF(LEFT(A84,8)="Pendente",1,0)</x:f>
        <x:v>0</x:v>
      </x:c>
    </x:row>
    <x:row r="85" ht="60" customHeight="1">
      <x:c r="A85" s="23" t="str">
        <x:v>Encerrada — rejeitada</x:v>
      </x:c>
      <x:c r="B85" s="15" t="str">
        <x:v>Quality Digital</x:v>
      </x:c>
      <x:c r="C85" s="15" t="str">
        <x:v>TÉCNICO DE SUPORTE JÚNIOR</x:v>
      </x:c>
      <x:c r="D85" s="15" t="str">
        <x:v>Suporte</x:v>
      </x:c>
      <x:c r="E85" s="15" t="str">
        <x:v>Não informado</x:v>
      </x:c>
      <x:c r="F85" s="16" t="str">
        <x:v>Pendente — e-mail Gupy</x:v>
      </x:c>
      <x:c r="G85" s="18" t="str">
        <x:v>Não aplicável</x:v>
      </x:c>
      <x:c r="H85" s="18" t="str">
        <x:v>Nenhuma; candidatura rejeitada</x:v>
      </x:c>
      <x:c r="I85" s="19" t="str">
        <x:v>19/09/2026</x:v>
      </x:c>
      <x:c r="J85" s="18" t="str">
        <x:v>E-mail de feedback de 18/09 informa explicitamente que a candidatura não seguirá após triagem/requisitos. Vaga também é de suporte, área fora do escopo definido.</x:v>
      </x:c>
      <x:c r="K85" s="24" t="str">
        <x:v>E-mail — rejeição 18/09</x:v>
      </x:c>
      <x:c r="L85" t="n">
        <x:f>IF(LEFT(K85,3)="Sim",1,0)+IF(LEFT(K85,6)="Portal",1,0)</x:f>
        <x:v>0</x:v>
      </x:c>
      <x:c r="M85" t="n">
        <x:f>IF(LEFT(A85,8)="Pendente",1,0)</x:f>
        <x:v>0</x:v>
      </x:c>
    </x:row>
    <x:row r="86" ht="60" customHeight="1">
      <x:c r="A86" s="23" t="str">
        <x:v>Enviada</x:v>
      </x:c>
      <x:c r="B86" s="15" t="str">
        <x:v>Stefanini</x:v>
      </x:c>
      <x:c r="C86" s="15" t="str">
        <x:v>Desenvolvedor Full Stack JR (Java/Angular)</x:v>
      </x:c>
      <x:c r="D86" s="15" t="str">
        <x:v>Desenvolvimento</x:v>
      </x:c>
      <x:c r="E86" s="15" t="str">
        <x:v>Brasília/DF, presencial</x:v>
      </x:c>
      <x:c r="F86" s="16" t="str">
        <x:v>Acessar na plataforma (link privado removido)</x:v>
      </x:c>
      <x:c r="G86" s="18" t="str">
        <x:v>Etapa seguinte sem formato informado</x:v>
      </x:c>
      <x:c r="H86" s="18" t="str">
        <x:v>Acompanhar e-mail e portal; não iniciar entrevista se exigir áudio ou vídeo</x:v>
      </x:c>
      <x:c r="I86" s="19" t="str">
        <x:v>21/09/2026</x:v>
      </x:c>
      <x:c r="J86" s="18" t="str">
        <x:v>Candidatura finalizada e confirmação revista no portal em 21/09. A apresentação personalizada destacou ADS em fase final, Python, APIs REST, SQL/PostgreSQL, C#/.NET e JavaScript/TypeScript, sem alegar experiência profissional não comprovada. A próxima etapa se chama ‘Entrevista Inteligente’, mas o portal ainda não informa o formato.</x:v>
      </x:c>
      <x:c r="K86" s="24" t="str">
        <x:v>Portal — candidatura finalizada 21/09</x:v>
      </x:c>
      <x:c r="L86" t="n">
        <x:f>IF(LEFT(K86,3)="Sim",1,0)+IF(LEFT(K86,6)="Portal",1,0)</x:f>
        <x:v>1</x:v>
      </x:c>
      <x:c r="M86" t="n">
        <x:f>IF(LEFT(A86,8)="Pendente",1,0)</x:f>
        <x:v>0</x:v>
      </x:c>
    </x:row>
    <x:row r="87" ht="60" customHeight="1">
      <x:c r="A87" s="23" t="str">
        <x:v>Excluída — requisitos</x:v>
      </x:c>
      <x:c r="B87" s="15" t="str">
        <x:v>Gaudium</x:v>
      </x:c>
      <x:c r="C87" s="15" t="str">
        <x:v>Desenvolvedor Backend</x:v>
      </x:c>
      <x:c r="D87" s="15" t="str">
        <x:v>Desenvolvimento</x:v>
      </x:c>
      <x:c r="E87" s="15" t="str">
        <x:v>Remoto, CLT</x:v>
      </x:c>
      <x:c r="F87" s="16" t="str">
        <x:v>https://gaudium.gupy.io/jobs/12456418?jobBoardSource=gupy_opportunities</x:v>
      </x:c>
      <x:c r="G87" s="18" t="str">
        <x:v>Teste de lógica e avaliação técnica previstos</x:v>
      </x:c>
      <x:c r="H87" s="18" t="str">
        <x:v>Não finalizar; vaga requer senioridade não comprovada</x:v>
      </x:c>
      <x:c r="I87" s="19" t="str">
        <x:v>20/09/2026</x:v>
      </x:c>
      <x:c r="J87" s="18" t="str">
        <x:v>Salário oficial divulgado de R$ 9.974,70 a R$ 11.600,88, mas a descrição exige no mínimo cinco anos de backend, PHP, Go e experiência comprovada em aplicações críticas de alta escala. Cadastro iniciado, sem candidatura enviada.</x:v>
      </x:c>
      <x:c r="K87" s="24" t="str">
        <x:v>E-mail recebido — não finalizada</x:v>
      </x:c>
      <x:c r="L87" t="n">
        <x:f>IF(LEFT(K87,3)="Sim",1,0)+IF(LEFT(K87,6)="Portal",1,0)</x:f>
        <x:v>0</x:v>
      </x:c>
      <x:c r="M87" t="n">
        <x:f>IF(LEFT(A87,8)="Pendente",1,0)</x:f>
        <x:v>0</x:v>
      </x:c>
    </x:row>
    <x:row r="88" ht="98" customHeight="1">
      <x:c r="A88" s="23" t="str">
        <x:v>Enviada</x:v>
      </x:c>
      <x:c r="B88" s="15" t="str">
        <x:v>Tokio Marine</x:v>
      </x:c>
      <x:c r="C88" s="15" t="str">
        <x:v>Analista de Sistemas Júnior — Inteligência Artificial</x:v>
      </x:c>
      <x:c r="D88" s="15" t="str">
        <x:v>Dados e IA</x:v>
      </x:c>
      <x:c r="E88" s="15" t="str">
        <x:v>São Paulo/SP, híbrido</x:v>
      </x:c>
      <x:c r="F88" s="16" t="str">
        <x:v>Acessar na plataforma (link privado removido)</x:v>
      </x:c>
      <x:c r="G88" s="18" t="str">
        <x:v>Fit Cultural e testes complementares previstos; formato audiovisual não informado</x:v>
      </x:c>
      <x:c r="H88" s="18" t="str">
        <x:v>Acompanhar e-mail; validar formato de cada etapa antes de iniciar</x:v>
      </x:c>
      <x:c r="I88" s="19" t="str">
        <x:v>30/09/2026</x:v>
      </x:c>
      <x:c r="J88" s="18" t="str">
        <x:v>Candidatura retomada, personalizada e finalizada na Gupy em 30/09. A apresentação destacou ADS em fase final, Python, APIs REST, SQL/PostgreSQL, Git, Docker, IA/LLM aplicada e inglês intermediário. As respostas já registradas no portal foram preservadas; cloud e ferramentas específicas foram tratadas como aprendizado.</x:v>
      </x:c>
      <x:c r="K88" s="24" t="str">
        <x:v>Portal — confirmação Gupy 30/09</x:v>
      </x:c>
      <x:c r="L88" t="n">
        <x:f>IF(LEFT(K88,3)="Sim",1,0)+IF(LEFT(K88,6)="Portal",1,0)</x:f>
        <x:v>1</x:v>
      </x:c>
      <x:c r="M88" t="n">
        <x:f>IF(LEFT(A88,8)="Pendente",1,0)</x:f>
        <x:v>0</x:v>
      </x:c>
    </x:row>
    <x:row r="89" ht="60" customHeight="1">
      <x:c r="A89" s="23" t="str">
        <x:v>Pendente — dados cadastrais</x:v>
      </x:c>
      <x:c r="B89" s="15" t="str">
        <x:v>PagBank</x:v>
      </x:c>
      <x:c r="C89" s="15" t="str">
        <x:v>Cientista de Dados Jr.</x:v>
      </x:c>
      <x:c r="D89" s="15" t="str">
        <x:v>Dados e IA</x:v>
      </x:c>
      <x:c r="E89" s="15" t="str">
        <x:v>São Paulo/SP, híbrido</x:v>
      </x:c>
      <x:c r="F89" s="16" t="str">
        <x:v>Acessar na plataforma (link privado removido)</x:v>
      </x:c>
      <x:c r="G89" s="18" t="str">
        <x:v>Sem audiovisual declarado</x:v>
      </x:c>
      <x:c r="H89" s="18" t="str">
        <x:v>Aguardar dados faltantes e autorização específica para transmitir documentos/dados salariais; depois personalizar e revisar antes de enviar</x:v>
      </x:c>
      <x:c r="I89" s="19" t="str">
        <x:v>20/09/2026</x:v>
      </x:c>
      <x:c r="J89" s="18" t="str">
        <x:v>Rascunho iniciado. Aderência em Python, SQL e projeto de dados/IA, mas o formulário exige dados de RG, filiação, naturalidade e histórico/pretenção salarial. Nada adicional foi enviado sem confirmação específica.</x:v>
      </x:c>
      <x:c r="K89" s="24" t="str">
        <x:v>Portal — rascunho em revisão 20/09</x:v>
      </x:c>
      <x:c r="L89" t="n">
        <x:f>IF(LEFT(K89,3)="Sim",1,0)+IF(LEFT(K89,6)="Portal",1,0)</x:f>
        <x:v>1</x:v>
      </x:c>
      <x:c r="M89" t="n">
        <x:f>IF(LEFT(A89,8)="Pendente",1,0)</x:f>
        <x:v>1</x:v>
      </x:c>
    </x:row>
    <x:row r="90" ht="60" customHeight="1">
      <x:c r="A90" s="23" t="str">
        <x:v>Excluída — audiovisual</x:v>
      </x:c>
      <x:c r="B90" s="15" t="str">
        <x:v>Minsait</x:v>
      </x:c>
      <x:c r="C90" s="15" t="str">
        <x:v>Desenvolvedor Java Junior</x:v>
      </x:c>
      <x:c r="D90" s="15" t="str">
        <x:v>Desenvolvimento</x:v>
      </x:c>
      <x:c r="E90" s="15" t="str">
        <x:v>São Paulo/SP, híbrido</x:v>
      </x:c>
      <x:c r="F90" s="16" t="str">
        <x:v>Acessar na plataforma (link privado removido)</x:v>
      </x:c>
      <x:c r="G90" s="18" t="str">
        <x:v>Entrevista técnica gravada obrigatória</x:v>
      </x:c>
      <x:c r="H90" s="18" t="str">
        <x:v>Não prosseguir; manter como bloqueada pelo protocolo audiovisual</x:v>
      </x:c>
      <x:c r="I90" s="19" t="str">
        <x:v>20/09/2026</x:v>
      </x:c>
      <x:c r="J90" s="18" t="str">
        <x:v>Rascunho iniciado, sem candidatura enviada. O formulário exige consentimento para entrevista técnica gravada com apoio de ferramenta de IA. Isso conflita com a regra de não iniciar avaliações com áudio/vídeo/gravação.</x:v>
      </x:c>
      <x:c r="K90" s="24" t="str">
        <x:v>Portal — não enviada; bloqueio AV 20/09</x:v>
      </x:c>
      <x:c r="L90" t="n">
        <x:f>IF(LEFT(K90,3)="Sim",1,0)+IF(LEFT(K90,6)="Portal",1,0)</x:f>
        <x:v>1</x:v>
      </x:c>
      <x:c r="M90" t="n">
        <x:f>IF(LEFT(A90,8)="Pendente",1,0)</x:f>
        <x:v>0</x:v>
      </x:c>
    </x:row>
    <x:row r="91" ht="60" customHeight="1">
      <x:c r="A91" s="23" t="str">
        <x:v>Pendente — reCAPTCHA</x:v>
      </x:c>
      <x:c r="B91" s="15" t="str">
        <x:v>Black Lion</x:v>
      </x:c>
      <x:c r="C91" s="15" t="str">
        <x:v>Desenvolvedor(a) Full Stack Júnior | Fintech (White Label Banking)</x:v>
      </x:c>
      <x:c r="D91" s="15" t="str">
        <x:v>Desenvolvimento</x:v>
      </x:c>
      <x:c r="E91" s="15" t="str">
        <x:v>São Paulo/SP, híbrido (3x por semana)</x:v>
      </x:c>
      <x:c r="F91" s="16" t="str">
        <x:v>https://br.indeed.com/viewjob?jk=98039e0bd9a2fb44</x:v>
      </x:c>
      <x:c r="G91" s="18" t="str">
        <x:v>Sem audiovisual declarado</x:v>
      </x:c>
      <x:c r="H91" s="18" t="str">
        <x:v>Abrir em Minhas Vagas no Indeed e concluir o reCAPTCHA/Enviar pessoalmente</x:v>
      </x:c>
      <x:c r="I91" s="19" t="str">
        <x:v>30/09/2026</x:v>
      </x:c>
      <x:c r="J91" s="18" t="str">
        <x:v>Candidatura personalizada chegou a 100% no Indeed com currículo selecionado. GitHub, remuneração atual aproximada de R$6 mil, disponibilidade presencial e pretensão mínima foram preenchidos de forma factual. Salário divulgado de R$3.000/mês; envio final bloqueado por reCAPTCHA, não contornado.</x:v>
      </x:c>
      <x:c r="K91" s="24" t="str">
        <x:v>Não — rascunho 100% no Indeed</x:v>
      </x:c>
      <x:c r="L91" t="n">
        <x:f>IF(LEFT(K91,3)="Sim",1,0)+IF(LEFT(K91,6)="Portal",1,0)</x:f>
        <x:v>0</x:v>
      </x:c>
      <x:c r="M91" t="n">
        <x:f>IF(LEFT(A91,8)="Pendente",1,0)</x:f>
        <x:v>1</x:v>
      </x:c>
    </x:row>
    <x:row r="92" ht="60" customHeight="1">
      <x:c r="A92" s="23" t="str">
        <x:v>Pendente — validar vaga Indeed</x:v>
      </x:c>
      <x:c r="B92" s="15" t="str">
        <x:v>Núclea</x:v>
      </x:c>
      <x:c r="C92" s="15" t="str">
        <x:v>Cientista de Dados Junior</x:v>
      </x:c>
      <x:c r="D92" s="15" t="str">
        <x:v>Dados e IA</x:v>
      </x:c>
      <x:c r="E92" s="15" t="str">
        <x:v>São Paulo/SP, híbrido (2x presencial)</x:v>
      </x:c>
      <x:c r="F92" s="16" t="str">
        <x:v>https://br.indeed.com/q-cientista-de-dados-junior-vagas.html</x:v>
      </x:c>
      <x:c r="G92" s="18" t="str">
        <x:v>Sem audiovisual declarado</x:v>
      </x:c>
      <x:c r="H92" s="18" t="str">
        <x:v>Revalidar anúncio oficial, salário e requisito de formação antes de personalizar; só avançar se a vaga ainda estiver ativa</x:v>
      </x:c>
      <x:c r="I92" s="19" t="str">
        <x:v>20/09/2026</x:v>
      </x:c>
      <x:c r="J92" s="18" t="str">
        <x:v>Pesquisa Indeed: boa aderência em Python, estatística básica, ML introdutório, Git e produtos de dados. O anúncio cita salário compatível com o mercado, sem faixa; confirma graduação completa como requisito.</x:v>
      </x:c>
      <x:c r="K92" s="24" t="str">
        <x:v>Não aplicável — não enviada</x:v>
      </x:c>
      <x:c r="L92" t="n">
        <x:f>IF(LEFT(K92,3)="Sim",1,0)+IF(LEFT(K92,6)="Portal",1,0)</x:f>
        <x:v>0</x:v>
      </x:c>
      <x:c r="M92" t="n">
        <x:f>IF(LEFT(A92,8)="Pendente",1,0)</x:f>
        <x:v>1</x:v>
      </x:c>
    </x:row>
    <x:row r="93" ht="60" customHeight="1">
      <x:c r="A93" s="23" t="str">
        <x:v>Pendente — validar vaga Indeed</x:v>
      </x:c>
      <x:c r="B93" s="15" t="str">
        <x:v>Capgemini</x:v>
      </x:c>
      <x:c r="C93" s="15" t="str">
        <x:v>Engenheiro/Engenheira de Dados Júnior</x:v>
      </x:c>
      <x:c r="D93" s="15" t="str">
        <x:v>Dados e IA</x:v>
      </x:c>
      <x:c r="E93" s="15" t="str">
        <x:v>Recife/PE, flexível por projeto</x:v>
      </x:c>
      <x:c r="F93" s="16" t="str">
        <x:v>https://br.indeed.com/viewjob?jk=c55ef5f93f377bbe</x:v>
      </x:c>
      <x:c r="G93" s="18" t="str">
        <x:v>Sem audiovisual declarado</x:v>
      </x:c>
      <x:c r="H93" s="18" t="str">
        <x:v>Revalidar anúncio, salário, localização e formulário antes de personalizar; só avançar se a vaga ainda estiver ativa</x:v>
      </x:c>
      <x:c r="I93" s="19" t="str">
        <x:v>20/09/2026</x:v>
      </x:c>
      <x:c r="J93" s="18" t="str">
        <x:v>Pesquisa Indeed: aderência parcial em SQL e dados. Oracle/Teradata, Power BI, DAX/Power Query, modelagem dimensional, ETL/ELT e governança são lacunas a estudar. Salário não divulgado.</x:v>
      </x:c>
      <x:c r="K93" s="24" t="str">
        <x:v>Não aplicável — não enviada</x:v>
      </x:c>
      <x:c r="L93" t="n">
        <x:f>IF(LEFT(K93,3)="Sim",1,0)+IF(LEFT(K93,6)="Portal",1,0)</x:f>
        <x:v>0</x:v>
      </x:c>
      <x:c r="M93" t="n">
        <x:f>IF(LEFT(A93,8)="Pendente",1,0)</x:f>
        <x:v>1</x:v>
      </x:c>
    </x:row>
    <x:row r="94" ht="60" customHeight="1">
      <x:c r="A94" s="23" t="str">
        <x:v>Pendente — validar vaga Indeed</x:v>
      </x:c>
      <x:c r="B94" s="15" t="str">
        <x:v>Avanade</x:v>
      </x:c>
      <x:c r="C94" s="15" t="str">
        <x:v>Cientista de Dados Junior</x:v>
      </x:c>
      <x:c r="D94" s="15" t="str">
        <x:v>Dados e IA</x:v>
      </x:c>
      <x:c r="E94" s="15" t="str">
        <x:v>São Paulo/SP, modalidade não declarada</x:v>
      </x:c>
      <x:c r="F94" s="16" t="str">
        <x:v>https://br.indeed.com/viewjob?jk=561c5553d6fed093</x:v>
      </x:c>
      <x:c r="G94" s="18" t="str">
        <x:v>Sem audiovisual declarado</x:v>
      </x:c>
      <x:c r="H94" s="18" t="str">
        <x:v>Revalidar anúncio, salário e formulário antes de personalizar; só avançar se a vaga ainda estiver ativa</x:v>
      </x:c>
      <x:c r="I94" s="19" t="str">
        <x:v>20/09/2026</x:v>
      </x:c>
      <x:c r="J94" s="18" t="str">
        <x:v>Pesquisa Indeed: aderência em Python, SQL, Git, ETL/ELT e dados; PySpark, modelagem preditiva, ML e estatística exigem preparação específica. Salário não divulgado.</x:v>
      </x:c>
      <x:c r="K94" s="24" t="str">
        <x:v>Não aplicável — não enviada</x:v>
      </x:c>
      <x:c r="L94" t="n">
        <x:f>IF(LEFT(K94,3)="Sim",1,0)+IF(LEFT(K94,6)="Portal",1,0)</x:f>
        <x:v>0</x:v>
      </x:c>
      <x:c r="M94" t="n">
        <x:f>IF(LEFT(A94,8)="Pendente",1,0)</x:f>
        <x:v>1</x:v>
      </x:c>
    </x:row>
    <x:row r="95" ht="110" customHeight="1">
      <x:c r="A95" s="23" t="str">
        <x:v>Enviada</x:v>
      </x:c>
      <x:c r="B95" s="15" t="str">
        <x:v>Quality Digital</x:v>
      </x:c>
      <x:c r="C95" s="15" t="str">
        <x:v>Analista de Dados e IA Jr.</x:v>
      </x:c>
      <x:c r="D95" s="15" t="str">
        <x:v>Dados e IA</x:v>
      </x:c>
      <x:c r="E95" s="15" t="str">
        <x:v>Remoto, efetivo</x:v>
      </x:c>
      <x:c r="F95" s="16" t="str">
        <x:v>Acessar na plataforma (link privado removido)</x:v>
      </x:c>
      <x:c r="G95" s="18" t="str">
        <x:v>Sem audiovisual declarado</x:v>
      </x:c>
      <x:c r="H95" s="18" t="str">
        <x:v>Acompanhar e-mail; validar formato de Talent e gestor antes de iniciar</x:v>
      </x:c>
      <x:c r="I95" s="19" t="str">
        <x:v>21/09/2026</x:v>
      </x:c>
      <x:c r="J95" s="18" t="str">
        <x:v>Candidatura personalizada enviada e confirmada pela Gupy em 21/09. Foram declarados somente projetos próprios em Python, SQL/PostgreSQL, APIs, logs/telemetria, testes e integração de LLMs; PySpark, ML/visão computacional profissional, Databricks/Dataiku, MLflow e MLOps não foram alegados. Inglês B1. Pretensão: R$4.000 CLT/mês, negociável. Habilidades destacadas: Python, SQL e CI/CD.</x:v>
      </x:c>
      <x:c r="K95" s="24" t="str">
        <x:v>Sim — confirmação Gupy 21/09</x:v>
      </x:c>
      <x:c r="L95" t="n">
        <x:f>IF(LEFT(K95,3)="Sim",1,0)+IF(LEFT(K95,6)="Portal",1,0)</x:f>
        <x:v>1</x:v>
      </x:c>
      <x:c r="M95" t="n">
        <x:f>IF(LEFT(A95,8)="Pendente",1,0)</x:f>
        <x:v>0</x:v>
      </x:c>
    </x:row>
    <x:row r="96" ht="60" customHeight="1">
      <x:c r="A96" s="23" t="str">
        <x:v>Enviada</x:v>
      </x:c>
      <x:c r="B96" s="15" t="str">
        <x:v>Viceri SEIDOR</x:v>
      </x:c>
      <x:c r="C96" s="15" t="str">
        <x:v>Pessoa Desenvolvedora Full Stack Júnior — Front-End e Cloud Azure</x:v>
      </x:c>
      <x:c r="D96" s="15" t="str">
        <x:v>Desenvolvimento</x:v>
      </x:c>
      <x:c r="E96" s="15" t="str">
        <x:v>Remoto, efetivo</x:v>
      </x:c>
      <x:c r="F96" s="16" t="str">
        <x:v>Acessar na plataforma (link privado removido)</x:v>
      </x:c>
      <x:c r="G96" s="18" t="str">
        <x:v>Testes previstos; formato audiovisual não informado</x:v>
      </x:c>
      <x:c r="H96" s="18" t="str">
        <x:v>Acompanhar e-mail; validar o formato antes de cada teste</x:v>
      </x:c>
      <x:c r="I96" s="19" t="str">
        <x:v>21/09/2026</x:v>
      </x:c>
      <x:c r="J96" s="18" t="str">
        <x:v>Candidatura finalizada e confirmada pela Gupy em 21/09. Texto personalizado: projetos próprios/freelances com React, TypeScript, APIs REST, SQL/PostgreSQL, Git, Docker e CI/CD. Angular, Node, Azure e Terraform foram apontados como estudo, não como experiência consolidada. Pretensão já gravada no portal: R$5.000 CLT, negociável.</x:v>
      </x:c>
      <x:c r="K96" s="24" t="str">
        <x:v>Portal — confirmação Gupy 21/09</x:v>
      </x:c>
      <x:c r="L96" t="n">
        <x:f>IF(LEFT(K96,3)="Sim",1,0)+IF(LEFT(K96,6)="Portal",1,0)</x:f>
        <x:v>1</x:v>
      </x:c>
      <x:c r="M96" t="n">
        <x:f>IF(LEFT(A96,8)="Pendente",1,0)</x:f>
        <x:v>0</x:v>
      </x:c>
    </x:row>
    <x:row r="97" ht="60" customHeight="1">
      <x:c r="A97" s="23" t="str">
        <x:v>Pendente — avaliação pessoal</x:v>
      </x:c>
      <x:c r="B97" s="15" t="str">
        <x:v>Sicredi</x:v>
      </x:c>
      <x:c r="C97" s="15" t="str">
        <x:v>Assistente de Desenvolvimento de Sistemas — Pelotas/RS</x:v>
      </x:c>
      <x:c r="D97" s="15" t="str">
        <x:v>Automação e dados</x:v>
      </x:c>
      <x:c r="E97" s="15" t="str">
        <x:v>Pelotas/RS, presencial</x:v>
      </x:c>
      <x:c r="F97" s="16" t="str">
        <x:v>Acessar na plataforma (link privado removido)</x:v>
      </x:c>
      <x:c r="G97" s="18" t="str">
        <x:v>PDA comportamental; sem audiovisual indicado no convite</x:v>
      </x:c>
      <x:c r="H97" s="18" t="str">
        <x:v>Responder pessoalmente ao PDA; não iniciar com respostas atribuídas ao candidato</x:v>
      </x:c>
      <x:c r="I97" s="19" t="str">
        <x:v>21/09/2026</x:v>
      </x:c>
      <x:c r="J97" s="18" t="str">
        <x:v>Candidatura finalizada e confirmada pela Gupy em 21/09. Três respostas escritas personalizadas abordaram motivação, projeto próprio de integração e método para automação. Às 12:02, o e-mail liberou o PDA (Personal Development Analysis), avaliação comportamental de 10–20 minutos. O convite não menciona áudio, vídeo, câmera ou microfone, mas a etapa avalia traços pessoais e deve refletir as respostas do próprio candidato. Perfil técnico já enviado: Python, APIs REST, SQL, Docker, testes e logs; BPM/RPA corporativo não foi alegado. Disponibilidade para mudança a Pelotas confirmada.</x:v>
      </x:c>
      <x:c r="K97" s="24" t="str">
        <x:v>Portal — confirmação Gupy 21/09</x:v>
      </x:c>
      <x:c r="L97" t="n">
        <x:f>IF(LEFT(K97,3)="Sim",1,0)+IF(LEFT(K97,6)="Portal",1,0)</x:f>
        <x:v>1</x:v>
      </x:c>
      <x:c r="M97" t="n">
        <x:f>IF(LEFT(A97,8)="Pendente",1,0)</x:f>
        <x:v>1</x:v>
      </x:c>
    </x:row>
    <x:row r="98" ht="92" customHeight="1">
      <x:c r="A98" s="23" t="str">
        <x:v>Enviada</x:v>
      </x:c>
      <x:c r="B98" s="15" t="str">
        <x:v>Avla Brasil</x:v>
      </x:c>
      <x:c r="C98" s="15" t="str">
        <x:v>Analista de People Analytics</x:v>
      </x:c>
      <x:c r="D98" s="15" t="str">
        <x:v>Dados e automação</x:v>
      </x:c>
      <x:c r="E98" s="15" t="str">
        <x:v>São Paulo/SP, híbrido</x:v>
      </x:c>
      <x:c r="F98" s="16" t="str">
        <x:v>Acessar na plataforma (link privado removido)</x:v>
      </x:c>
      <x:c r="G98" s="18" t="str">
        <x:v>Sem audiovisual declarado</x:v>
      </x:c>
      <x:c r="H98" s="18" t="str">
        <x:v>Acompanhar e-mail e validar formato das entrevistas</x:v>
      </x:c>
      <x:c r="I98" s="19" t="str">
        <x:v>21/09/2026</x:v>
      </x:c>
      <x:c r="J98" s="18" t="str">
        <x:v>Candidatura finalizada e confirmada pela Gupy em 21/09. A apresentação individual trouxe Python, SQL/PostgreSQL, automação e Excel; VBA, Looker Studio e People Analytics foram colocados como aprendizado, sem alegar experiência consolidada.</x:v>
      </x:c>
      <x:c r="K98" s="24" t="str">
        <x:v>Portal — confirmação Gupy 21/09</x:v>
      </x:c>
      <x:c r="L98" t="n">
        <x:f>IF(LEFT(K98,3)="Sim",1,0)+IF(LEFT(K98,6)="Portal",1,0)</x:f>
        <x:v>1</x:v>
      </x:c>
      <x:c r="M98" t="n">
        <x:f>IF(LEFT(A98,8)="Pendente",1,0)</x:f>
        <x:v>0</x:v>
      </x:c>
    </x:row>
    <x:row r="99" ht="92" customHeight="1">
      <x:c r="A99" s="23" t="str">
        <x:v>Enviada</x:v>
      </x:c>
      <x:c r="B99" s="15" t="str">
        <x:v>Mendelics</x:v>
      </x:c>
      <x:c r="C99" s="15" t="str">
        <x:v>Desenvolvedor(a)</x:v>
      </x:c>
      <x:c r="D99" s="15" t="str">
        <x:v>Desenvolvimento</x:v>
      </x:c>
      <x:c r="E99" s="15" t="str">
        <x:v>Remoto, CLT</x:v>
      </x:c>
      <x:c r="F99" s="16" t="str">
        <x:v>Acessar na plataforma (link privado removido)</x:v>
      </x:c>
      <x:c r="G99" s="18" t="str">
        <x:v>Entrevistas online previstas; formato audiovisual não informado</x:v>
      </x:c>
      <x:c r="H99" s="18" t="str">
        <x:v>Acompanhar e-mail; validar o formato de cada entrevista antes de iniciar</x:v>
      </x:c>
      <x:c r="I99" s="19" t="str">
        <x:v>21/09/2026</x:v>
      </x:c>
      <x:c r="J99" s="18" t="str">
        <x:v>Candidatura finalizada e confirmada pela Gupy em 21/09. Personalização destacou Python/FastAPI, APIs, PostgreSQL, Docker, pytest, CI/CD e GCP, com interesse na modernização da plataforma. Pretensão: R$7.000 CLT, negociável conforme responsabilidades e benefícios.</x:v>
      </x:c>
      <x:c r="K99" s="24" t="str">
        <x:v>Portal — confirmação Gupy 21/09</x:v>
      </x:c>
      <x:c r="L99" t="n">
        <x:f>IF(LEFT(K99,3)="Sim",1,0)+IF(LEFT(K99,6)="Portal",1,0)</x:f>
        <x:v>1</x:v>
      </x:c>
      <x:c r="M99" t="n">
        <x:f>IF(LEFT(A99,8)="Pendente",1,0)</x:f>
        <x:v>0</x:v>
      </x:c>
    </x:row>
    <x:row r="100" ht="92" customHeight="1">
      <x:c r="A100" s="23" t="str">
        <x:v>Enviada</x:v>
      </x:c>
      <x:c r="B100" s="15" t="str">
        <x:v>Benner</x:v>
      </x:c>
      <x:c r="C100" s="15" t="str">
        <x:v>Programador Junior</x:v>
      </x:c>
      <x:c r="D100" s="15" t="str">
        <x:v>Desenvolvimento</x:v>
      </x:c>
      <x:c r="E100" s="15" t="str">
        <x:v>Maringá/PR, híbrido</x:v>
      </x:c>
      <x:c r="F100" s="16" t="str">
        <x:v>Acessar na plataforma (link privado removido)</x:v>
      </x:c>
      <x:c r="G100" s="18" t="str">
        <x:v>Sem audiovisual declarado</x:v>
      </x:c>
      <x:c r="H100" s="18" t="str">
        <x:v>Acompanhar e-mail; validar formato de entrevistas posteriores</x:v>
      </x:c>
      <x:c r="I100" s="19" t="str">
        <x:v>21/09/2026</x:v>
      </x:c>
      <x:c r="J100" s="18" t="str">
        <x:v>Candidatura finalizada e confirmada pela Gupy em 21/09. Personalização apresentou projetos próprios/freelances em C#/.NET, ASP.NET Core, APIs REST, EF, PostgreSQL, Docker, Git, testes e CI/CD. Habilidades destacadas: API REST, C# e .NET Core. Pretensão existente no formulário: R$5.000 CLT, negociável.</x:v>
      </x:c>
      <x:c r="K100" s="24" t="str">
        <x:v>Portal — confirmação Gupy 21/09</x:v>
      </x:c>
      <x:c r="L100" t="n">
        <x:f>IF(LEFT(K100,3)="Sim",1,0)+IF(LEFT(K100,6)="Portal",1,0)</x:f>
        <x:v>1</x:v>
      </x:c>
      <x:c r="M100" t="n">
        <x:f>IF(LEFT(A100,8)="Pendente",1,0)</x:f>
        <x:v>0</x:v>
      </x:c>
    </x:row>
    <x:row r="101" ht="92" customHeight="1">
      <x:c r="A101" s="23" t="str">
        <x:v>Enviada</x:v>
      </x:c>
      <x:c r="B101" s="15" t="str">
        <x:v>FCamara</x:v>
      </x:c>
      <x:c r="C101" s="15" t="str">
        <x:v>Desenvolvedor Full Stack .NET</x:v>
      </x:c>
      <x:c r="D101" s="15" t="str">
        <x:v>Desenvolvimento</x:v>
      </x:c>
      <x:c r="E101" s="15" t="str">
        <x:v>São Bernardo do Campo/SP, presencial</x:v>
      </x:c>
      <x:c r="F101" s="16" t="str">
        <x:v>Acessar na plataforma (link privado removido)</x:v>
      </x:c>
      <x:c r="G101" s="18" t="str">
        <x:v>Entrevistas previstas; formato audiovisual não informado</x:v>
      </x:c>
      <x:c r="H101" s="18" t="str">
        <x:v>Acompanhar e-mail; validar o formato de cada etapa antes de iniciar</x:v>
      </x:c>
      <x:c r="I101" s="19" t="str">
        <x:v>21/09/2026</x:v>
      </x:c>
      <x:c r="J101" s="18" t="str">
        <x:v>Candidatura de alcance finalizada e confirmada pela Gupy em 21/09. A apresentação foi factual: projetos próprios/freelances em C#/.NET, APIs REST, EF Core, PostgreSQL, Git, Docker, xUnit e CI/CD; Clean Architecture e SOLID foram declarados como estudo. A vaga pede experiência mais madura, portanto manter como stretch.</x:v>
      </x:c>
      <x:c r="K101" s="24" t="str">
        <x:v>Portal — confirmação Gupy 21/09</x:v>
      </x:c>
      <x:c r="L101" t="n">
        <x:f>IF(LEFT(K101,3)="Sim",1,0)+IF(LEFT(K101,6)="Portal",1,0)</x:f>
        <x:v>1</x:v>
      </x:c>
      <x:c r="M101" t="n">
        <x:f>IF(LEFT(A101,8)="Pendente",1,0)</x:f>
        <x:v>0</x:v>
      </x:c>
    </x:row>
    <x:row r="102" ht="92" customHeight="1">
      <x:c r="A102" s="23" t="str">
        <x:v>Enviada</x:v>
      </x:c>
      <x:c r="B102" s="15" t="str">
        <x:v>Quality Digital</x:v>
      </x:c>
      <x:c r="C102" s="15" t="str">
        <x:v>DESENVOLVEDOR JÚNIOR</x:v>
      </x:c>
      <x:c r="D102" s="15" t="str">
        <x:v>Desenvolvimento</x:v>
      </x:c>
      <x:c r="E102" s="15" t="str">
        <x:v>Remoto, efetivo</x:v>
      </x:c>
      <x:c r="F102" s="16" t="str">
        <x:v>Acessar na plataforma (link privado removido)</x:v>
      </x:c>
      <x:c r="G102" s="18" t="str">
        <x:v>Sem audiovisual declarado</x:v>
      </x:c>
      <x:c r="H102" s="18" t="str">
        <x:v>Acompanhar e-mail; validar o formato de Talent e gestor antes de iniciar</x:v>
      </x:c>
      <x:c r="I102" s="19" t="str">
        <x:v>21/09/2026</x:v>
      </x:c>
      <x:c r="J102" s="18" t="str">
        <x:v>Candidatura finalizada e confirmada pela Gupy em 21/09. A apresentação personalizou Python/FastAPI e C#/.NET, APIs, SQL/PostgreSQL, Git, Docker, testes e investigação por logs/queries. Transparência mantida: a prática corporativa de sustentação ainda está em desenvolvimento. Pretensão já gravada: R$5.000 CLT, negociável.</x:v>
      </x:c>
      <x:c r="K102" s="24" t="str">
        <x:v>Portal — confirmação Gupy 21/09</x:v>
      </x:c>
      <x:c r="L102" t="n">
        <x:f>IF(LEFT(K102,3)="Sim",1,0)+IF(LEFT(K102,6)="Portal",1,0)</x:f>
        <x:v>1</x:v>
      </x:c>
      <x:c r="M102" t="n">
        <x:f>IF(LEFT(A102,8)="Pendente",1,0)</x:f>
        <x:v>0</x:v>
      </x:c>
    </x:row>
    <x:row r="103" ht="92" customHeight="1">
      <x:c r="A103" s="23" t="str">
        <x:v>Enviada — fase audiovisual bloqueada</x:v>
      </x:c>
      <x:c r="B103" s="15" t="str">
        <x:v>Stefanini Group</x:v>
      </x:c>
      <x:c r="C103" s="15" t="str">
        <x:v>Analista Desenvolvedor Pleno</x:v>
      </x:c>
      <x:c r="D103" s="15" t="str">
        <x:v>Desenvolvimento e IA</x:v>
      </x:c>
      <x:c r="E103" s="15" t="str">
        <x:v>Remoto/híbrido conforme projeto</x:v>
      </x:c>
      <x:c r="F103" s="16" t="str">
        <x:v>Acessar na plataforma (link privado removido)</x:v>
      </x:c>
      <x:c r="G103" s="18" t="str">
        <x:v>Entrevista por áudio DigAí confirmada</x:v>
      </x:c>
      <x:c r="H103" s="18" t="str">
        <x:v>Não iniciar a entrevista por áudio; acompanhar somente por novas etapas compatíveis</x:v>
      </x:c>
      <x:c r="I103" s="19" t="str">
        <x:v>21/09/2026</x:v>
      </x:c>
      <x:c r="J103" s="18" t="str">
        <x:v>Candidatura finalizada e confirmada pela Gupy em 21/09. Personalização destacou projetos próprios/freelances em Python, FastAPI, APIs REST, PostgreSQL, Docker, pytest, CI/CD, integrações e uso crítico de IA; C#/.NET e React como complementares. A experiência formal corporativa foi explicitamente descrita como em formação. Pretensão: R$7.000 CLT, negociável. E-mail de 21/09 às 12:46 confirmou que a ‘Entrevista Inteligente’ é uma entrevista DigAí com respostas via áudio; ela não foi iniciada.</x:v>
      </x:c>
      <x:c r="K103" s="24" t="str">
        <x:v>Portal — confirmação Gupy 21/09</x:v>
      </x:c>
      <x:c r="L103" t="n">
        <x:f>IF(LEFT(K103,3)="Sim",1,0)+IF(LEFT(K103,6)="Portal",1,0)</x:f>
        <x:v>1</x:v>
      </x:c>
      <x:c r="M103" t="n">
        <x:f>IF(LEFT(A103,8)="Pendente",1,0)</x:f>
        <x:v>0</x:v>
      </x:c>
    </x:row>
    <x:row r="104" ht="92" customHeight="1">
      <x:c r="A104" s="23" t="str">
        <x:v>Enviada</x:v>
      </x:c>
      <x:c r="B104" s="15" t="str">
        <x:v>Confitec</x:v>
      </x:c>
      <x:c r="C104" s="15" t="str">
        <x:v>Desenvolvedor .NET/ Angular - Júnior - Exclusiva São Paulo</x:v>
      </x:c>
      <x:c r="D104" s="15" t="str">
        <x:v>Desenvolvimento</x:v>
      </x:c>
      <x:c r="E104" s="15" t="str">
        <x:v>Remoto, efetivo</x:v>
      </x:c>
      <x:c r="F104" s="16" t="str">
        <x:v>Acessar na plataforma (link privado removido)</x:v>
      </x:c>
      <x:c r="G104" s="18" t="str">
        <x:v>Entrevistas previstas; formato audiovisual não informado</x:v>
      </x:c>
      <x:c r="H104" s="18" t="str">
        <x:v>Acompanhar e-mail; validar o formato de cada etapa antes de iniciar</x:v>
      </x:c>
      <x:c r="I104" s="19" t="str">
        <x:v>21/09/2026</x:v>
      </x:c>
      <x:c r="J104" s="18" t="str">
        <x:v>Candidatura finalizada e confirmada pela Gupy em 21/09. Perguntas obrigatórias registraram base em PostgreSQL/MySQL, ausência de atuação profissional em SQL Server/Angular e prática com C#/.NET, APIs REST, EF Core, autenticação, integrações, xUnit, Docker e CI/CD. Personalização reforçou transparência sobre Angular como estudo. Pretensão: R$5.000 CLT, negociável.</x:v>
      </x:c>
      <x:c r="K104" s="24" t="str">
        <x:v>Portal — confirmação Gupy 21/09</x:v>
      </x:c>
      <x:c r="L104" t="n">
        <x:f>IF(LEFT(K104,3)="Sim",1,0)+IF(LEFT(K104,6)="Portal",1,0)</x:f>
        <x:v>1</x:v>
      </x:c>
      <x:c r="M104" t="n">
        <x:f>IF(LEFT(A104,8)="Pendente",1,0)</x:f>
        <x:v>0</x:v>
      </x:c>
    </x:row>
    <x:row r="105" ht="92" customHeight="1">
      <x:c r="A105" s="23" t="str">
        <x:v>Pendente — faixa</x:v>
      </x:c>
      <x:c r="B105" s="15" t="str">
        <x:v>Confitec</x:v>
      </x:c>
      <x:c r="C105" s="15" t="str">
        <x:v>Desenvolvedor(a) Fullstack Backend Trainee</x:v>
      </x:c>
      <x:c r="D105" s="15" t="str">
        <x:v>Desenvolvimento</x:v>
      </x:c>
      <x:c r="E105" s="15" t="str">
        <x:v>Remoto, efetivo</x:v>
      </x:c>
      <x:c r="F105" s="16" t="str">
        <x:v>https://confitec.gupy.io/jobs/12448761?jobBoardSource=gupy_public_page</x:v>
      </x:c>
      <x:c r="G105" s="18" t="str">
        <x:v>Sem audiovisual declarado</x:v>
      </x:c>
      <x:c r="H105" s="18" t="str">
        <x:v>Confirmar faixa de pelo menos R$4.000 antes de candidatar</x:v>
      </x:c>
      <x:c r="I105" s="19" t="str">
        <x:v>21/09/2026</x:v>
      </x:c>
      <x:c r="J105" s="18" t="str">
        <x:v>Salário oficial não divulgado. Proxy público específico de trainee na Confitec varia aproximadamente de R$3,2 mil a R$4,25 mil/mês; há risco material de ficar abaixo do piso. Manter pendente até haver confirmação de faixa ou formulário permitir registrar mínimo com segurança.</x:v>
      </x:c>
      <x:c r="K105" s="24" t="str">
        <x:v>Não aplicável — não enviada</x:v>
      </x:c>
      <x:c r="L105" t="n">
        <x:f>IF(LEFT(K105,3)="Sim",1,0)+IF(LEFT(K105,6)="Portal",1,0)</x:f>
        <x:v>0</x:v>
      </x:c>
      <x:c r="M105" t="n">
        <x:f>IF(LEFT(A105,8)="Pendente",1,0)</x:f>
        <x:v>1</x:v>
      </x:c>
    </x:row>
    <x:row r="106" ht="92" customHeight="1">
      <x:c r="A106" s="23" t="str">
        <x:v>Pendente — faixa</x:v>
      </x:c>
      <x:c r="B106" s="15" t="str">
        <x:v>Stefanini Group</x:v>
      </x:c>
      <x:c r="C106" s="15" t="str">
        <x:v>Administrador de Banco de Dados JR</x:v>
      </x:c>
      <x:c r="D106" s="15" t="str">
        <x:v>Dados e infraestrutura</x:v>
      </x:c>
      <x:c r="E106" s="15" t="str">
        <x:v>São Bernardo do Campo/SP, presencial</x:v>
      </x:c>
      <x:c r="F106" s="16" t="str">
        <x:v>https://stefanini.gupy.io/jobs/11926973?jobBoardSource=gupy_public_page</x:v>
      </x:c>
      <x:c r="G106" s="18" t="str">
        <x:v>Sem audiovisual declarado</x:v>
      </x:c>
      <x:c r="H106" s="18" t="str">
        <x:v>Confirmar faixa de pelo menos R$4.000 antes de candidatar</x:v>
      </x:c>
      <x:c r="I106" s="19" t="str">
        <x:v>21/09/2026</x:v>
      </x:c>
      <x:c r="J106" s="18" t="str">
        <x:v>Superior em andamento, SQL/PostgreSQL e Python são aderentes, mas a rotina inclui backup, monitoramento e incidentes de banco. Salário oficial não divulgado; referências públicas de DBA júnior ficam aproximadamente em R$3,35–4,10 mil. Não enviar sem preservar o piso.</x:v>
      </x:c>
      <x:c r="K106" s="24" t="str">
        <x:v>Não aplicável — não enviada</x:v>
      </x:c>
      <x:c r="L106" t="n">
        <x:f>IF(LEFT(K106,3)="Sim",1,0)+IF(LEFT(K106,6)="Portal",1,0)</x:f>
        <x:v>0</x:v>
      </x:c>
      <x:c r="M106" t="n">
        <x:f>IF(LEFT(A106,8)="Pendente",1,0)</x:f>
        <x:v>1</x:v>
      </x:c>
    </x:row>
    <x:row r="107" ht="92" customHeight="1">
      <x:c r="A107" s="23" t="str">
        <x:v>Pendente — avaliação pessoal</x:v>
      </x:c>
      <x:c r="B107" s="15" t="str">
        <x:v>Grupo SysMap</x:v>
      </x:c>
      <x:c r="C107" s="15" t="str">
        <x:v>Analista Programador Front End PL</x:v>
      </x:c>
      <x:c r="D107" s="15" t="str">
        <x:v>Desenvolvimento</x:v>
      </x:c>
      <x:c r="E107" s="15" t="str">
        <x:v>Remoto, efetivo CLT</x:v>
      </x:c>
      <x:c r="F107" s="16" t="str">
        <x:v>https://gruposysmap.gupy.io/jobs/12448423?jobBoardSource=gupy_public_page</x:v>
      </x:c>
      <x:c r="G107" s="18" t="str">
        <x:v>Mapeamento comportamental; formato audiovisual não informado</x:v>
      </x:c>
      <x:c r="H107" s="18" t="str">
        <x:v>Responder pessoalmente ao mapeamento; não iniciar com respostas atribuídas ao candidato</x:v>
      </x:c>
      <x:c r="I107" s="19" t="str">
        <x:v>21/09/2026</x:v>
      </x:c>
      <x:c r="J107" s="18" t="str">
        <x:v>E-mail da Gupy de 21/09 confirmou o desbloqueio da etapa de Mapeamento Comportamental. A vaga ativa pede React/Next.js ou Vue.js com TypeScript, Python para APIs REST, SQL, testes, Git, CI/CD, Docker e ferramentas de IA. Há aderência em TypeScript, Python, APIs REST, SQL/PostgreSQL, Git, Docker, CI/CD e IA aplicada; React/Next/Vue, componentização, estado e performance de SPA são lacunas a declarar com transparência. Sem salário divulgado.</x:v>
      </x:c>
      <x:c r="K107" s="24" t="str">
        <x:v>Portal — etapa liberada via e-mail Gupy 21/09</x:v>
      </x:c>
      <x:c r="L107" t="n">
        <x:f>IF(LEFT(K107,3)="Sim",1,0)+IF(LEFT(K107,6)="Portal",1,0)</x:f>
        <x:v>1</x:v>
      </x:c>
      <x:c r="M107" t="n">
        <x:f>IF(LEFT(A107,8)="Pendente",1,0)</x:f>
        <x:v>1</x:v>
      </x:c>
    </x:row>
    <x:row r="108" ht="92" customHeight="1">
      <x:c r="A108" s="25" t="str">
        <x:v>Encerrada — vaga fechada</x:v>
      </x:c>
      <x:c r="B108" s="26" t="str">
        <x:v>NYBANQ</x:v>
      </x:c>
      <x:c r="C108" s="26" t="str">
        <x:v>IT / Software Engineering Intern — API &amp; Integrations</x:v>
      </x:c>
      <x:c r="D108" s="26" t="str">
        <x:v>Desenvolvimento e integrações</x:v>
      </x:c>
      <x:c r="E108" s="26" t="str">
        <x:v>Remoto, estágio</x:v>
      </x:c>
      <x:c r="F108" s="27" t="str">
        <x:v>https://br.linkedin.com/jobs/view/it-software-engineering-intern-%E2%80%93-api-integrations-at-nybanq-4467344240</x:v>
      </x:c>
      <x:c r="G108" s="28" t="str">
        <x:v>Não informado — vaga fechada</x:v>
      </x:c>
      <x:c r="H108" s="28" t="str">
        <x:v>Monitorar repostagem; não há candidatura possível no anúncio atual</x:v>
      </x:c>
      <x:c r="I108" s="29" t="str">
        <x:v>21/09/2026</x:v>
      </x:c>
      <x:c r="J108" s="28" t="str">
        <x:v>LinkedIn oficial revisado em 21/09: o anúncio não aceita mais candidaturas. Não divulgava salário nem benefícios, portanto não é possível validar o piso de R$4.000. Boa aderência em ADS em andamento, Python/JavaScript/TypeScript, APIs REST, HTTP/JSON, Git e AWS; gaps: inglês fluente exigido versus B1, Postman/Swagger/OpenAPI e OAuth/Auth0 se não comprovados.</x:v>
      </x:c>
      <x:c r="K108" s="30" t="str">
        <x:v>Não aplicável — não enviada</x:v>
      </x:c>
      <x:c r="L108" t="n">
        <x:f>IF(LEFT(K108,3)="Sim",1,0)+IF(LEFT(K108,6)="Portal",1,0)</x:f>
        <x:v>0</x:v>
      </x:c>
      <x:c r="M108" t="n">
        <x:f>IF(LEFT(A108,8)="Pendente",1,0)</x:f>
        <x:v>0</x:v>
      </x:c>
    </x:row>
    <x:row r="109" ht="84" customHeight="1">
      <x:c r="A109" s="32" t="str">
        <x:v>Enviada</x:v>
      </x:c>
      <x:c r="B109" s="63" t="str">
        <x:v>Afya</x:v>
      </x:c>
      <x:c r="C109" s="63" t="str">
        <x:v>Analista de Dados Júnior</x:v>
      </x:c>
      <x:c r="D109" s="63" t="str">
        <x:v>Dados e IA</x:v>
      </x:c>
      <x:c r="E109" s="63" t="str">
        <x:v>Remoto; descrição também cita híbrido em São Paulo/SP</x:v>
      </x:c>
      <x:c r="F109" s="63" t="str">
        <x:v>Acessar na plataforma (link privado removido)</x:v>
      </x:c>
      <x:c r="G109" s="63" t="str">
        <x:v>Entrevista Inteligente na etapa seguinte; formato não informado</x:v>
      </x:c>
      <x:c r="H109" s="63" t="str">
        <x:v>Acompanhar e-mail; validar o formato antes de iniciar qualquer entrevista</x:v>
      </x:c>
      <x:c r="I109" s="63" t="str">
        <x:v>30/09/2026</x:v>
      </x:c>
      <x:c r="J109" s="63" t="str">
        <x:v>Candidatura finalizada e confirmada na Gupy em 30/09. Personalização destacou SQL, Python, PostgreSQL, Git, APIs, automações, validação de integridade e documentação. Power BI e dbt foram tratados como temas de aprofundamento, não como experiência consolidada. Respostas factuais: não precisa de adaptação; remuneração atual aproximada de R$6 mil em freelances; sem parentesco.</x:v>
      </x:c>
      <x:c r="K109" s="63" t="str">
        <x:v>Portal — confirmação Gupy 30/09</x:v>
      </x:c>
      <x:c r="L109" t="n">
        <x:f>IF(LEFT(K109,3)="Sim",1,0)+IF(LEFT(K109,6)="Portal",1,0)</x:f>
        <x:v>1</x:v>
      </x:c>
      <x:c r="M109" t="n">
        <x:f>IF(LEFT(A109,8)="Pendente",1,0)</x:f>
        <x:v>0</x:v>
      </x:c>
    </x:row>
    <x:row r="110" ht="84" customHeight="1">
      <x:c r="A110" s="63" t="str">
        <x:v>Enviada por e-mail</x:v>
      </x:c>
      <x:c r="B110" s="63" t="str">
        <x:v>MOST Specialist Technologies</x:v>
      </x:c>
      <x:c r="C110" s="63" t="str">
        <x:v>Full Stack Developer (Python) — Hiperautomação</x:v>
      </x:c>
      <x:c r="D110" s="63" t="str">
        <x:v>Desenvolvimento e automação</x:v>
      </x:c>
      <x:c r="E110" s="63" t="str">
        <x:v>Remoto; estágio de 6h</x:v>
      </x:c>
      <x:c r="F110" s="63" t="str">
        <x:v>https://most.com.br/vagas/full-stack-developer-python-hiperautomacao</x:v>
      </x:c>
      <x:c r="G110" s="63" t="str">
        <x:v>Desafio técnico e apresentação técnica previstos; formato audiovisual do bate-papo não informado</x:v>
      </x:c>
      <x:c r="H110" s="63" t="str">
        <x:v>Aguardar retorno do RH; realizar pessoalmente qualquer desafio técnico ou entrevista</x:v>
      </x:c>
      <x:c r="I110" s="63" t="str">
        <x:v>30/09/2026</x:v>
      </x:c>
      <x:c r="J110" s="63" t="str">
        <x:v>Candidatura personalizada enviada por e-mail ao RH da MOST em 30/09, com currículo técnico público, GitHub e LinkedIn. O Gmail exibiu 'Mensagem enviada'. A vaga anuncia bolsa oficial de R$4.000/mês e tem forte aderência em Python, Docker, APIs, JavaScript/TypeScript, Git e Linux. O desafio técnico não foi iniciado e qualquer avaliação deve ser feita pessoalmente.</x:v>
      </x:c>
      <x:c r="K110" s="63" t="str">
        <x:v>E-mail enviado — Gmail confirmou o envio em 30/09; recibo da empresa pendente</x:v>
      </x:c>
      <x:c r="L110" t="n">
        <x:f>IF(LEFT(K110,3)="Sim",1,0)+IF(LEFT(K110,6)="Portal",1,0)</x:f>
        <x:v>0</x:v>
      </x:c>
      <x:c r="M110" t="n">
        <x:f>IF(LEFT(A110,8)="Pendente",1,0)</x:f>
        <x:v>0</x:v>
      </x:c>
    </x:row>
    <x:row r="111" ht="84" customHeight="1">
      <x:c r="A111" s="63" t="str">
        <x:v>Pendente — dados cadastrais</x:v>
      </x:c>
      <x:c r="B111" s="63" t="str">
        <x:v>Ana Recrutamento e Desenvolvimento</x:v>
      </x:c>
      <x:c r="C111" s="63" t="str">
        <x:v>Desenvolvedor Full Stack — Indústria</x:v>
      </x:c>
      <x:c r="D111" s="63" t="str">
        <x:v>Desenvolvimento</x:v>
      </x:c>
      <x:c r="E111" s="63" t="str">
        <x:v>São Ludgero/SC, híbrido; mudança possível</x:v>
      </x:c>
      <x:c r="F111" s="63" t="str">
        <x:v>https://br.indeed.com/viewjob?jk=e61be2010aa61b81</x:v>
      </x:c>
      <x:c r="G111" s="63" t="str">
        <x:v>Sem audiovisual declarado</x:v>
      </x:c>
      <x:c r="H111" s="63" t="str">
        <x:v>Preencher país, estado, cidade, bairro, endereço e CEP no Indeed; depois revisar e enviar</x:v>
      </x:c>
      <x:c r="I111" s="63" t="str">
        <x:v>30/09/2026</x:v>
      </x:c>
      <x:c r="J111" s="63" t="str">
        <x:v>Rascunho salvo no Indeed a 50%. Currículo Indeed selecionado; cargo pretendido e pretensão de R$5.000 preenchidos. A vaga pede dois anos e experiência sólida, portanto deve seguir como candidatura stretch e transparente. Dados de endereço completos não foram fornecidos e não foram inventados.</x:v>
      </x:c>
      <x:c r="K111" s="63" t="str">
        <x:v>Não — rascunho salvo no Indeed</x:v>
      </x:c>
      <x:c r="L111" t="n">
        <x:f>IF(LEFT(K111,3)="Sim",1,0)+IF(LEFT(K111,6)="Portal",1,0)</x:f>
        <x:v>0</x:v>
      </x:c>
      <x:c r="M111" t="n">
        <x:f>IF(LEFT(A111,8)="Pendente",1,0)</x:f>
        <x:v>1</x:v>
      </x:c>
    </x:row>
    <x:row r="112" ht="84" customHeight="1">
      <x:c r="A112" s="63" t="str">
        <x:v>Pendente — currículo obrigatório</x:v>
      </x:c>
      <x:c r="B112" s="63" t="str">
        <x:v>iblue Consulting</x:v>
      </x:c>
      <x:c r="C112" s="63" t="str">
        <x:v>[MG] Analista Desenvolvedor Fullstack (.NET/Angular) Júnior</x:v>
      </x:c>
      <x:c r="D112" s="63" t="str">
        <x:v>Desenvolvimento</x:v>
      </x:c>
      <x:c r="E112" s="63" t="str">
        <x:v>Rio de Janeiro/RJ, híbrido (1x por semana)</x:v>
      </x:c>
      <x:c r="F112" s="63" t="str">
        <x:v>https://jobs.quickin.io/iblueconsulting/apply?job_id=6ab6b0b1d34f680013c82b51</x:v>
      </x:c>
      <x:c r="G112" s="63" t="str">
        <x:v>Sem audiovisual declarado</x:v>
      </x:c>
      <x:c r="H112" s="63" t="str">
        <x:v>Anexar currículo no Quickin; revisar respostas e concluir o envio</x:v>
      </x:c>
      <x:c r="I112" s="63" t="str">
        <x:v>30/09/2026</x:v>
      </x:c>
      <x:c r="J112" s="63" t="str">
        <x:v>A vaga é aderente em .NET, C#, ASP.NET Web API, SQL, Git, TypeScript, APIs REST e CI/CD. Angular continua como tema de estudo. O formulário Quickin foi aberto e o envio não foi confirmado; o upload do currículo é o bloqueio operacional identificado.</x:v>
      </x:c>
      <x:c r="K112" s="63" t="str">
        <x:v>Não — formulário Quickin não enviado</x:v>
      </x:c>
      <x:c r="L112" t="n">
        <x:f>IF(LEFT(K112,3)="Sim",1,0)+IF(LEFT(K112,6)="Portal",1,0)</x:f>
        <x:v>0</x:v>
      </x:c>
      <x:c r="M112" t="n">
        <x:f>IF(LEFT(A112,8)="Pendente",1,0)</x:f>
        <x:v>1</x:v>
      </x:c>
    </x:row>
    <x:row r="113" ht="84" customHeight="1">
      <x:c r="A113" s="63" t="str">
        <x:v>Pendente — currículo obrigatório</x:v>
      </x:c>
      <x:c r="B113" s="63" t="str">
        <x:v>YSSY</x:v>
      </x:c>
      <x:c r="C113" s="63" t="str">
        <x:v>Engenheiro de Dados Júnior</x:v>
      </x:c>
      <x:c r="D113" s="63" t="str">
        <x:v>Dados e IA</x:v>
      </x:c>
      <x:c r="E113" s="63" t="str">
        <x:v>Barueri/SP, híbrido</x:v>
      </x:c>
      <x:c r="F113" s="63" t="str">
        <x:v>https://jobs.quickin.io/yssy/apply?job_id=6aa80b234fd9860013f43709</x:v>
      </x:c>
      <x:c r="G113" s="63" t="str">
        <x:v>Sem audiovisual declarado</x:v>
      </x:c>
      <x:c r="H113" s="63" t="str">
        <x:v>Anexar currículo no Quickin e preencher os dados de endereço solicitados; revisar e enviar</x:v>
      </x:c>
      <x:c r="I113" s="63" t="str">
        <x:v>30/09/2026</x:v>
      </x:c>
      <x:c r="J113" s="63" t="str">
        <x:v>Alta aderência em Python, SQL, modelagem e integração. A página oficial Quickin exige currículo anexado; o arquivo não pode ser transmitido pelo navegador nesta sessão. Não foram criados dados de endereço inexistentes.</x:v>
      </x:c>
      <x:c r="K113" s="63" t="str">
        <x:v>Não — formulário Quickin não enviado</x:v>
      </x:c>
      <x:c r="L113" t="n">
        <x:f>IF(LEFT(K113,3)="Sim",1,0)+IF(LEFT(K113,6)="Portal",1,0)</x:f>
        <x:v>0</x:v>
      </x:c>
      <x:c r="M113" t="n">
        <x:f>IF(LEFT(A113,8)="Pendente",1,0)</x:f>
        <x:v>1</x:v>
      </x:c>
    </x:row>
    <x:row r="114" ht="84" customHeight="1">
      <x:c r="A114" s="63" t="str">
        <x:v>Pendente — dados cadastrais</x:v>
      </x:c>
      <x:c r="B114" s="63" t="str">
        <x:v>Cakto Pay</x:v>
      </x:c>
      <x:c r="C114" s="63" t="str">
        <x:v>Desenvolvedor(a) Front-end — Júnior (React.js)</x:v>
      </x:c>
      <x:c r="D114" s="63" t="str">
        <x:v>Desenvolvimento</x:v>
      </x:c>
      <x:c r="E114" s="63" t="str">
        <x:v>Não informado</x:v>
      </x:c>
      <x:c r="F114" s="63" t="str">
        <x:v>https://cakto.vagas.solides.com.br/vaga/880773?origem=indeed</x:v>
      </x:c>
      <x:c r="G114" s="63" t="str">
        <x:v>Sem audiovisual declarado</x:v>
      </x:c>
      <x:c r="H114" s="63" t="str">
        <x:v>Preencher estado civil, endereço completo/CEP e confirmar CNH; depois revisar e enviar</x:v>
      </x:c>
      <x:c r="I114" s="63" t="str">
        <x:v>30/09/2026</x:v>
      </x:c>
      <x:c r="J114" s="63" t="str">
        <x:v>Aderência em React de projetos, JavaScript/TypeScript e APIs. Foram mantidos níveis factuais: React intermediário, inglês intermediário e espanhol básico. O Sólides exige estado civil, endereço completo, CEP e informação de CNH, que não foram inventados.</x:v>
      </x:c>
      <x:c r="K114" s="63" t="str">
        <x:v>Não — formulário Sólides não enviado</x:v>
      </x:c>
      <x:c r="L114" t="n">
        <x:f>IF(LEFT(K114,3)="Sim",1,0)+IF(LEFT(K114,6)="Portal",1,0)</x:f>
        <x:v>0</x:v>
      </x:c>
      <x:c r="M114" t="n">
        <x:f>IF(LEFT(A114,8)="Pendente",1,0)</x:f>
        <x:v>1</x:v>
      </x:c>
    </x:row>
    <x:row r="115" ht="84" customHeight="1">
      <x:c r="A115" s="63" t="str">
        <x:v>Pendente — currículo obrigatório</x:v>
      </x:c>
      <x:c r="B115" s="63" t="str">
        <x:v>Equifax</x:v>
      </x:c>
      <x:c r="C115" s="63" t="str">
        <x:v>Cientista de Dados — Júnior</x:v>
      </x:c>
      <x:c r="D115" s="63" t="str">
        <x:v>Dados e IA</x:v>
      </x:c>
      <x:c r="E115" s="63" t="str">
        <x:v>Barueri/SP</x:v>
      </x:c>
      <x:c r="F115" s="63" t="str">
        <x:v>https://equifax.wd5.myworkdayjobs.com/pt-BR/External/job/BRA-Barueri/Cientista-de-Dados---Jnior_J00178981/apply/applyManually</x:v>
      </x:c>
      <x:c r="G115" s="63" t="str">
        <x:v>Sem audiovisual declarado</x:v>
      </x:c>
      <x:c r="H115" s="63" t="str">
        <x:v>Anexar currículo no Workday; revisar demais campos e enviar</x:v>
      </x:c>
      <x:c r="I115" s="63" t="str">
        <x:v>30/09/2026</x:v>
      </x:c>
      <x:c r="J115" s="63" t="str">
        <x:v>Fluxo Workday aberto para Cientista de Dados Júnior. O portal exige currículo anexado e o envio não foi confirmado. A oportunidade segue em controle por ser alinhada a Python, SQL e dados; detalhes de requisito devem ser revisados no retorno.</x:v>
      </x:c>
      <x:c r="K115" s="63" t="str">
        <x:v>Não — formulário Workday não enviado</x:v>
      </x:c>
      <x:c r="L115" t="n">
        <x:f>IF(LEFT(K115,3)="Sim",1,0)+IF(LEFT(K115,6)="Portal",1,0)</x:f>
        <x:v>0</x:v>
      </x:c>
      <x:c r="M115" t="n">
        <x:f>IF(LEFT(A115,8)="Pendente",1,0)</x:f>
        <x:v>1</x:v>
      </x:c>
    </x:row>
    <x:row r="116" ht="84" customHeight="1">
      <x:c r="A116" s="63" t="str">
        <x:v>Pendente — dados cadastrais</x:v>
      </x:c>
      <x:c r="B116" s="63" t="str">
        <x:v>Construtora Kazza</x:v>
      </x:c>
      <x:c r="C116" s="63" t="str">
        <x:v>Analista de Dados e Automação I</x:v>
      </x:c>
      <x:c r="D116" s="63" t="str">
        <x:v>Dados e automação</x:v>
      </x:c>
      <x:c r="E116" s="63" t="str">
        <x:v>Salvador/BA, presencial ou híbrido conforme anúncio</x:v>
      </x:c>
      <x:c r="F116" s="63" t="str">
        <x:v>https://construtorakazza.vagas.solides.com.br/vaga/916773?origem=indeed</x:v>
      </x:c>
      <x:c r="G116" s="63" t="str">
        <x:v>Sem audiovisual declarado</x:v>
      </x:c>
      <x:c r="H116" s="63" t="str">
        <x:v>Preencher endereço completo e confirmar CNH; depois revisar e enviar</x:v>
      </x:c>
      <x:c r="I116" s="63" t="str">
        <x:v>30/09/2026</x:v>
      </x:c>
      <x:c r="J116" s="63" t="str">
        <x:v>Faixa divulgada de R$4.000–4.800 CLT. Formulário Sólides requer endereço completo e informação de CNH. Esses dados não foram fornecidos, portanto a candidatura não foi enviada.</x:v>
      </x:c>
      <x:c r="K116" s="63" t="str">
        <x:v>Não — formulário Sólides não enviado</x:v>
      </x:c>
      <x:c r="L116" t="n">
        <x:f>IF(LEFT(K116,3)="Sim",1,0)+IF(LEFT(K116,6)="Portal",1,0)</x:f>
        <x:v>0</x:v>
      </x:c>
      <x:c r="M116" t="n">
        <x:f>IF(LEFT(A116,8)="Pendente",1,0)</x:f>
        <x:v>1</x:v>
      </x:c>
    </x:row>
    <x:row r="117" ht="84" customHeight="1">
      <x:c r="A117" s="32" t="str">
        <x:v>Enviada</x:v>
      </x:c>
      <x:c r="B117" s="63" t="str">
        <x:v>Terram Engenharia</x:v>
      </x:c>
      <x:c r="C117" s="63" t="str">
        <x:v>Analista de Dados Jr</x:v>
      </x:c>
      <x:c r="D117" s="63" t="str">
        <x:v>Dados e IA</x:v>
      </x:c>
      <x:c r="E117" s="63" t="str">
        <x:v>Barueri/SP, presencial</x:v>
      </x:c>
      <x:c r="F117" s="63" t="str">
        <x:v>Acessar na plataforma (link privado removido)</x:v>
      </x:c>
      <x:c r="G117" s="63" t="str">
        <x:v>Fit Cultural na etapa seguinte; formato não informado</x:v>
      </x:c>
      <x:c r="H117" s="63" t="str">
        <x:v>Acompanhar e-mail; validar o formato antes de iniciar qualquer etapa</x:v>
      </x:c>
      <x:c r="I117" s="63" t="str">
        <x:v>30/09/2026</x:v>
      </x:c>
      <x:c r="J117" s="63" t="str">
        <x:v>Candidatura finalizada e confirmada na Gupy em 30/09. Personalização destacou Python, SQL/PostgreSQL, APIs, automações, Excel, dados e documentação; Power BI foi mencionado apenas como tema em aprofundamento. RG, filiação, última remuneração e pretensão foram informados de forma factual. Habilidades destacadas: Python, SQL e PostgreSQL.</x:v>
      </x:c>
      <x:c r="K117" s="63" t="str">
        <x:v>Portal — confirmação Gupy 30/09</x:v>
      </x:c>
      <x:c r="L117" t="n">
        <x:f>IF(LEFT(K117,3)="Sim",1,0)+IF(LEFT(K117,6)="Portal",1,0)</x:f>
        <x:v>1</x:v>
      </x:c>
      <x:c r="M117" t="n">
        <x:f>IF(LEFT(A117,8)="Pendente",1,0)</x:f>
        <x:v>0</x:v>
      </x:c>
    </x:row>
    <x:row r="118" ht="84" customHeight="1">
      <x:c r="A118" s="63" t="str">
        <x:v>Pendente — reCAPTCHA</x:v>
      </x:c>
      <x:c r="B118" s="63" t="str">
        <x:v>AM53 Tech Recruitment</x:v>
      </x:c>
      <x:c r="C118" s="63" t="str">
        <x:v>Desenvolvedor(a) Júnior — Python &amp; Data Analytics</x:v>
      </x:c>
      <x:c r="D118" s="63" t="str">
        <x:v>Dados e automação</x:v>
      </x:c>
      <x:c r="E118" s="63" t="str">
        <x:v>São Paulo/SP</x:v>
      </x:c>
      <x:c r="F118" s="63" t="str">
        <x:v>https://br.indeed.com/viewjob?jk=7935544f2ce38078</x:v>
      </x:c>
      <x:c r="G118" s="63" t="str">
        <x:v>Sem audiovisual declarado</x:v>
      </x:c>
      <x:c r="H118" s="63" t="str">
        <x:v>Abrir em Minhas Vagas no Indeed e concluir o reCAPTCHA/Enviar pessoalmente</x:v>
      </x:c>
      <x:c r="I118" s="63" t="str">
        <x:v>30/09/2026</x:v>
      </x:c>
      <x:c r="J118" s="63" t="str">
        <x:v>Candidatura personalizada preparada a 100% no Indeed com currículo anexado e carta focada em Python, SQL/PostgreSQL, APIs, Docker, Git, Excel, tratamento de dados e automações. O botão final não ficou disponível por reCAPTCHA; não foi contornado.</x:v>
      </x:c>
      <x:c r="K118" s="63" t="str">
        <x:v>Não — rascunho 100% no Indeed</x:v>
      </x:c>
      <x:c r="L118" t="n">
        <x:f>IF(LEFT(K118,3)="Sim",1,0)+IF(LEFT(K118,6)="Portal",1,0)</x:f>
        <x:v>0</x:v>
      </x:c>
      <x:c r="M118" t="n">
        <x:f>IF(LEFT(A118,8)="Pendente",1,0)</x:f>
        <x:v>1</x:v>
      </x:c>
    </x:row>
    <x:row r="119" ht="84" customHeight="1">
      <x:c r="A119" s="63" t="str">
        <x:v>Pendente — reCAPTCHA</x:v>
      </x:c>
      <x:c r="B119" s="63" t="str">
        <x:v>COBRAPE</x:v>
      </x:c>
      <x:c r="C119" s="63" t="str">
        <x:v>Programador Junior</x:v>
      </x:c>
      <x:c r="D119" s="63" t="str">
        <x:v>Desenvolvimento</x:v>
      </x:c>
      <x:c r="E119" s="63" t="str">
        <x:v>São Paulo/SP, CLT</x:v>
      </x:c>
      <x:c r="F119" s="63" t="str">
        <x:v>https://br.indeed.com/viewjob?jk=bee9e87a7c8f21a6</x:v>
      </x:c>
      <x:c r="G119" s="63" t="str">
        <x:v>Sem audiovisual declarado</x:v>
      </x:c>
      <x:c r="H119" s="63" t="str">
        <x:v>Concluir o reCAPTCHA/Enviar no Indeed quando o botão final estiver habilitado</x:v>
      </x:c>
      <x:c r="I119" s="63" t="str">
        <x:v>30/09/2026</x:v>
      </x:c>
      <x:c r="J119" s="63" t="str">
        <x:v>Vaga aderente em C#/.NET e banco relacional. O Indeed abriu a candidatura já a 100%, mas o botão de envio permaneceu desabilitado por reCAPTCHA. O salvamento foi solicitado, porém a plataforma não exibiu confirmação de saída; não houve candidatura enviada.</x:v>
      </x:c>
      <x:c r="K119" s="63" t="str">
        <x:v>Não — envio final bloqueado no Indeed</x:v>
      </x:c>
      <x:c r="L119" t="n">
        <x:f>IF(LEFT(K119,3)="Sim",1,0)+IF(LEFT(K119,6)="Portal",1,0)</x:f>
        <x:v>0</x:v>
      </x:c>
      <x:c r="M119" t="n">
        <x:f>IF(LEFT(A119,8)="Pendente",1,0)</x:f>
        <x:v>1</x:v>
      </x:c>
    </x:row>
    <x:row r="120" ht="92" customHeight="1">
      <x:c r="A120" s="32" t="str">
        <x:v>Enviada</x:v>
      </x:c>
      <x:c r="B120" s="63" t="str">
        <x:v>Conviso Application Security</x:v>
      </x:c>
      <x:c r="C120" s="63" t="str">
        <x:v>Junior/Pleno Front-End Engineer</x:v>
      </x:c>
      <x:c r="D120" s="63" t="str">
        <x:v>Desenvolvimento</x:v>
      </x:c>
      <x:c r="E120" s="63" t="str">
        <x:v>Remoto</x:v>
      </x:c>
      <x:c r="F120" s="63" t="str">
        <x:v>Acessar na plataforma (link privado removido)</x:v>
      </x:c>
      <x:c r="G120" s="63" t="str">
        <x:v>Sem audiovisual declarado; etapas futuras não verificadas</x:v>
      </x:c>
      <x:c r="H120" s="63" t="str">
        <x:v>Acompanhar e-mail e portal; validar o formato de qualquer etapa antes de iniciar</x:v>
      </x:c>
      <x:c r="I120" s="63" t="str">
        <x:v>30/09/2026</x:v>
      </x:c>
      <x:c r="J120" s="63" t="str">
        <x:v>Candidatura personalizada e finalizada na Gupy. Destacou JavaScript/TypeScript, React de projetos, Python/FastAPI, C#/.NET, APIs REST, PostgreSQL, Docker, Git e testes; Vue foi tratado como aprendizado, não experiência em produção. Pretensão: R$5–6 mil CLT, negociável conforme escopo e benefícios.</x:v>
      </x:c>
      <x:c r="K120" s="63" t="str">
        <x:v>Portal — confirmação Gupy 30/09</x:v>
      </x:c>
      <x:c r="L120" t="n">
        <x:f>IF(LEFT(K120,3)="Sim",1,0)+IF(LEFT(K120,6)="Portal",1,0)</x:f>
        <x:v>1</x:v>
      </x:c>
      <x:c r="M120" t="n">
        <x:f>IF(LEFT(A120,8)="Pendente",1,0)</x:f>
        <x:v>0</x:v>
      </x:c>
    </x:row>
    <x:row r="121" ht="92" customHeight="1">
      <x:c r="A121" s="63" t="str">
        <x:v>Pendente — questionário técnico</x:v>
      </x:c>
      <x:c r="B121" s="63" t="str">
        <x:v>Vertigo Tecnologia</x:v>
      </x:c>
      <x:c r="C121" s="63" t="str">
        <x:v>Analista de IA — Júnior</x:v>
      </x:c>
      <x:c r="D121" s="63" t="str">
        <x:v>Dados e IA</x:v>
      </x:c>
      <x:c r="E121" s="63" t="str">
        <x:v>Remoto</x:v>
      </x:c>
      <x:c r="F121" s="63" t="str">
        <x:v>https://br.indeed.com/viewjob?jk=4ecd51d1ae592034</x:v>
      </x:c>
      <x:c r="G121" s="63" t="str">
        <x:v>Questionário técnico escrito; sem audiovisual declarado</x:v>
      </x:c>
      <x:c r="H121" s="63" t="str">
        <x:v>Responder pessoalmente ao questionário técnico e concluir o envio no Indeed</x:v>
      </x:c>
      <x:c r="I121" s="63" t="str">
        <x:v>30/09/2026</x:v>
      </x:c>
      <x:c r="J121" s="63" t="str">
        <x:v>Rascunho salvo a 50% com currículo, LinkedIn, pretensão de R$6.000 e disponibilidade remota. Restam perguntas técnicas de múltipla escolha sobre AWS, critérios de aceitação e requisitos; não foram respondidas nesta sessão.</x:v>
      </x:c>
      <x:c r="K121" s="63" t="str">
        <x:v>Não — rascunho salvo no Indeed</x:v>
      </x:c>
      <x:c r="L121" t="n">
        <x:f>IF(LEFT(K121,3)="Sim",1,0)+IF(LEFT(K121,6)="Portal",1,0)</x:f>
        <x:v>0</x:v>
      </x:c>
      <x:c r="M121" t="n">
        <x:f>IF(LEFT(A121,8)="Pendente",1,0)</x:f>
        <x:v>1</x:v>
      </x:c>
    </x:row>
    <x:row r="122" ht="92" customHeight="1">
      <x:c r="A122" s="63" t="str">
        <x:v>Pendente — questionário técnico</x:v>
      </x:c>
      <x:c r="B122" s="63" t="str">
        <x:v>Extractta</x:v>
      </x:c>
      <x:c r="C122" s="63" t="str">
        <x:v>Desenvolvedor Backend Júnior C# / .NET</x:v>
      </x:c>
      <x:c r="D122" s="63" t="str">
        <x:v>Desenvolvimento</x:v>
      </x:c>
      <x:c r="E122" s="63" t="str">
        <x:v>Remoto; estágio</x:v>
      </x:c>
      <x:c r="F122" s="63" t="str">
        <x:v>https://br.indeed.com/viewjob?jk=9e455e565eb371b9</x:v>
      </x:c>
      <x:c r="G122" s="63" t="str">
        <x:v>Questionário técnico escrito; sem audiovisual declarado</x:v>
      </x:c>
      <x:c r="H122" s="63" t="str">
        <x:v>Responder pessoalmente ao questionário técnico e concluir o envio no Indeed</x:v>
      </x:c>
      <x:c r="I122" s="63" t="str">
        <x:v>30/09/2026</x:v>
      </x:c>
      <x:c r="J122" s="63" t="str">
        <x:v>Rascunho salvo a 50% com currículo, LinkedIn, pretensão de R$4.000 e respostas factuais. Restam questões técnicas sobre qualidade de código, SQL/índices, APIs REST seguras e fluxo Git; não foram respondidas nesta sessão.</x:v>
      </x:c>
      <x:c r="K122" s="63" t="str">
        <x:v>Não — rascunho salvo no Indeed</x:v>
      </x:c>
      <x:c r="L122" t="n">
        <x:f>IF(LEFT(K122,3)="Sim",1,0)+IF(LEFT(K122,6)="Portal",1,0)</x:f>
        <x:v>0</x:v>
      </x:c>
      <x:c r="M122" t="n">
        <x:f>IF(LEFT(A122,8)="Pendente",1,0)</x:f>
        <x:v>1</x:v>
      </x:c>
    </x:row>
    <x:row r="123" ht="92" customHeight="1">
      <x:c r="A123" s="63" t="str">
        <x:v>Pendente — Profiler comportamental</x:v>
      </x:c>
      <x:c r="B123" s="63" t="str">
        <x:v>ELA DECORA</x:v>
      </x:c>
      <x:c r="C123" s="63" t="str">
        <x:v>Desenvolvedor(a) Full Stack Júnior | IA + SaaS</x:v>
      </x:c>
      <x:c r="D123" s="63" t="str">
        <x:v>Desenvolvimento e IA</x:v>
      </x:c>
      <x:c r="E123" s="63" t="str">
        <x:v>Bauru/SP; CLT/PJ</x:v>
      </x:c>
      <x:c r="F123" s="63" t="str">
        <x:v>https://eladecora.vagas.solides.com.br/vaga/888981?origem=indeed</x:v>
      </x:c>
      <x:c r="G123" s="63" t="str">
        <x:v>Profiler comportamental obrigatório; formato audiovisual não confirmado</x:v>
      </x:c>
      <x:c r="H123" s="63" t="str">
        <x:v>Concluir o Profiler pessoalmente e revisar a candidatura</x:v>
      </x:c>
      <x:c r="I123" s="63" t="str">
        <x:v>30/09/2026</x:v>
      </x:c>
      <x:c r="J123" s="63" t="str">
        <x:v>Login com Google realizado; a Sólides exige o Profiler antes de salvar a candidatura. Não houve candidatura confirmada. A vaga é aderente a TypeScript, React/Node de projetos, SQL, Git, Docker e APIs.</x:v>
      </x:c>
      <x:c r="K123" s="63" t="str">
        <x:v>Não — candidatura não salva (Profiler obrigatório)</x:v>
      </x:c>
      <x:c r="L123" t="n">
        <x:f>IF(LEFT(K123,3)="Sim",1,0)+IF(LEFT(K123,6)="Portal",1,0)</x:f>
        <x:v>0</x:v>
      </x:c>
      <x:c r="M123" t="n">
        <x:f>IF(LEFT(A123,8)="Pendente",1,0)</x:f>
        <x:v>1</x:v>
      </x:c>
    </x:row>
    <x:row r="124" ht="92" customHeight="1">
      <x:c r="A124" s="63" t="str">
        <x:v>Pendente — Profiler comportamental</x:v>
      </x:c>
      <x:c r="B124" s="63" t="str">
        <x:v>UNIX Logística</x:v>
      </x:c>
      <x:c r="C124" s="63" t="str">
        <x:v>Desenvolvedor Júnior de Automação, Integrações e IA</x:v>
      </x:c>
      <x:c r="D124" s="63" t="str">
        <x:v>Automação, integrações e IA</x:v>
      </x:c>
      <x:c r="E124" s="63" t="str">
        <x:v>São Paulo/SP, presencial</x:v>
      </x:c>
      <x:c r="F124" s="63" t="str">
        <x:v>https://br.indeed.com/viewjob?jk=07d8ef0b1c75ef31</x:v>
      </x:c>
      <x:c r="G124" s="63" t="str">
        <x:v>Profiler comportamental obrigatório; formato audiovisual não confirmado</x:v>
      </x:c>
      <x:c r="H124" s="63" t="str">
        <x:v>Concluir o Profiler pessoalmente e revisar a candidatura</x:v>
      </x:c>
      <x:c r="I124" s="63" t="str">
        <x:v>30/09/2026</x:v>
      </x:c>
      <x:c r="J124" s="63" t="str">
        <x:v>Vaga CLT com salário divulgado de R$4.500. A Sólides exige o Profiler antes de salvar a candidatura; não houve candidatura confirmada. Boa aderência em Python, APIs, SQL, Docker e IA; n8n é tema de estudo.</x:v>
      </x:c>
      <x:c r="K124" s="63" t="str">
        <x:v>Não — candidatura não salva (Profiler obrigatório)</x:v>
      </x:c>
      <x:c r="L124" t="n">
        <x:f>IF(LEFT(K124,3)="Sim",1,0)+IF(LEFT(K124,6)="Portal",1,0)</x:f>
        <x:v>0</x:v>
      </x:c>
      <x:c r="M124" t="n">
        <x:f>IF(LEFT(A124,8)="Pendente",1,0)</x:f>
        <x:v>1</x:v>
      </x:c>
    </x:row>
    <x:row r="125" ht="92" customHeight="1">
      <x:c r="A125" s="63" t="str">
        <x:v>Pendente — currículo obrigatório</x:v>
      </x:c>
      <x:c r="B125" s="63" t="str">
        <x:v>Overlabs</x:v>
      </x:c>
      <x:c r="C125" s="63" t="str">
        <x:v>Desenvolvedor FullStack (Node/React)</x:v>
      </x:c>
      <x:c r="D125" s="63" t="str">
        <x:v>Desenvolvimento</x:v>
      </x:c>
      <x:c r="E125" s="63" t="str">
        <x:v>Remoto; PJ</x:v>
      </x:c>
      <x:c r="F125" s="63" t="str">
        <x:v>https://br.indeed.com/viewjob?jk=741b4fd7fbcf3396</x:v>
      </x:c>
      <x:c r="G125" s="63" t="str">
        <x:v>Sem audiovisual declarado</x:v>
      </x:c>
      <x:c r="H125" s="63" t="str">
        <x:v>Anexar CV no formulário Mindsight, revisar os dados e enviar</x:v>
      </x:c>
      <x:c r="I125" s="63" t="str">
        <x:v>30/09/2026</x:v>
      </x:c>
      <x:c r="J125" s="63" t="str">
        <x:v>Formulário externo exige anexo de currículo; não houve envio nem salvamento confirmado. Aderência em Node/React de projetos, TypeScript, APIs, SQL, Git e Docker.</x:v>
      </x:c>
      <x:c r="K125" s="63" t="str">
        <x:v>Não — formulário Mindsight não enviado</x:v>
      </x:c>
      <x:c r="L125" t="n">
        <x:f>IF(LEFT(K125,3)="Sim",1,0)+IF(LEFT(K125,6)="Portal",1,0)</x:f>
        <x:v>0</x:v>
      </x:c>
      <x:c r="M125" t="n">
        <x:f>IF(LEFT(A125,8)="Pendente",1,0)</x:f>
        <x:v>1</x:v>
      </x:c>
    </x:row>
    <x:row r="126" ht="92" customHeight="1">
      <x:c r="A126" s="63" t="str">
        <x:v>Pendente — currículo obrigatório</x:v>
      </x:c>
      <x:c r="B126" s="63" t="str">
        <x:v>Datum</x:v>
      </x:c>
      <x:c r="C126" s="63" t="str">
        <x:v>Pessoa Engenheira de Dados Júnior</x:v>
      </x:c>
      <x:c r="D126" s="63" t="str">
        <x:v>Dados e IA</x:v>
      </x:c>
      <x:c r="E126" s="63" t="str">
        <x:v>Remoto</x:v>
      </x:c>
      <x:c r="F126" s="63" t="str">
        <x:v>https://br.indeed.com/viewjob?jk=3828c5fb1a294d79</x:v>
      </x:c>
      <x:c r="G126" s="63" t="str">
        <x:v>Sem audiovisual declarado</x:v>
      </x:c>
      <x:c r="H126" s="63" t="str">
        <x:v>Anexar CV no formulário externo, revisar os dados e enviar</x:v>
      </x:c>
      <x:c r="I126" s="63" t="str">
        <x:v>30/09/2026</x:v>
      </x:c>
      <x:c r="J126" s="63" t="str">
        <x:v>Formulário externo exige currículo anexado; não houve envio nem salvamento confirmado. Aderência em Python, SQL, Git e conceitos de GCP, com prática de dados e integrações em projetos.</x:v>
      </x:c>
      <x:c r="K126" s="63" t="str">
        <x:v>Não — formulário externo não enviado</x:v>
      </x:c>
      <x:c r="L126" t="n">
        <x:f>IF(LEFT(K126,3)="Sim",1,0)+IF(LEFT(K126,6)="Portal",1,0)</x:f>
        <x:v>0</x:v>
      </x:c>
      <x:c r="M126" t="n">
        <x:f>IF(LEFT(A126,8)="Pendente",1,0)</x:f>
        <x:v>1</x:v>
      </x:c>
    </x:row>
    <x:row r="127" ht="92" customHeight="1">
      <x:c r="A127" s="63" t="str">
        <x:v>Enviada</x:v>
      </x:c>
      <x:c r="B127" s="63" t="str">
        <x:v>AuthSoft (via Jobbol)</x:v>
      </x:c>
      <x:c r="C127" s="63" t="str">
        <x:v>Desenvolvedor Júnior</x:v>
      </x:c>
      <x:c r="D127" s="63" t="str">
        <x:v>Desenvolvimento</x:v>
      </x:c>
      <x:c r="E127" s="63" t="str">
        <x:v>Remoto; Salvador/BA</x:v>
      </x:c>
      <x:c r="F127" s="63" t="str">
        <x:v>https://www.jobbol.com.br/vaga/29386875985</x:v>
      </x:c>
      <x:c r="G127" s="63" t="str">
        <x:v>Sem audiovisual declarado</x:v>
      </x:c>
      <x:c r="H127" s="63" t="str">
        <x:v>Acompanhar o e-mail e o portal Jobbol; validar o formato de qualquer próxima etapa</x:v>
      </x:c>
      <x:c r="I127" s="63" t="str">
        <x:v>30/09/2026</x:v>
      </x:c>
      <x:c r="J127" s="63" t="str">
        <x:v>Candidatura enviada pelo fluxo originado no Indeed, com currículo anexado e dados revisados. Confirmação exibida com protocolo LK9591784. Vaga de entrada para C#/.NET, WinForms, SQL Server/PostgreSQL, Git, testes e código legado; salário da vaga não foi divulgado, e a página mostra apenas média estimada local de R$3.500.</x:v>
      </x:c>
      <x:c r="K127" s="63" t="str">
        <x:v>Sim — protocolo Jobbol LK9591784 30/09</x:v>
      </x:c>
      <x:c r="L127" t="n">
        <x:f>IF(LEFT(K127,3)="Sim",1,0)+IF(LEFT(K127,6)="Portal",1,0)</x:f>
        <x:v>1</x:v>
      </x:c>
      <x:c r="M127" t="n">
        <x:f>IF(LEFT(A127,8)="Pendente",1,0)</x:f>
        <x:v>0</x:v>
      </x:c>
    </x:row>
    <x:row r="128" ht="92" customHeight="1">
      <x:c r="A128" s="63" t="str">
        <x:v>Enviada</x:v>
      </x:c>
      <x:c r="B128" s="63" t="str">
        <x:v>Construmarket</x:v>
      </x:c>
      <x:c r="C128" s="63" t="str">
        <x:v>Desenvolvedor(a) Júnior</x:v>
      </x:c>
      <x:c r="D128" s="63" t="str">
        <x:v>Desenvolvimento</x:v>
      </x:c>
      <x:c r="E128" s="63" t="str">
        <x:v>Remoto</x:v>
      </x:c>
      <x:c r="F128" s="63" t="str">
        <x:v>Acessar na plataforma (link privado removido)</x:v>
      </x:c>
      <x:c r="G128" s="63" t="str">
        <x:v>Fit Cultural e teste técnico previstos; formato audiovisual não informado</x:v>
      </x:c>
      <x:c r="H128" s="63" t="str">
        <x:v>Acompanhar e-mail; realizar pessoalmente qualquer avaliação e validar o formato antes de iniciar</x:v>
      </x:c>
      <x:c r="I128" s="63" t="str">
        <x:v>30/09/2026</x:v>
      </x:c>
      <x:c r="J128" s="63" t="str">
        <x:v>Candidatura personalizada e finalizada na Gupy. Destacou projetos próprios em C#/.NET, TypeScript, React, SQL/PostgreSQL, Git, Docker e testes. Angular e AngularJS foram apresentados como tecnologias em estudo para o legado, não como experiência consolidada.</x:v>
      </x:c>
      <x:c r="K128" s="63" t="str">
        <x:v>Portal — confirmação Gupy 30/09</x:v>
      </x:c>
      <x:c r="L128" t="n">
        <x:f>IF(LEFT(K128,3)="Sim",1,0)+IF(LEFT(K128,6)="Portal",1,0)</x:f>
        <x:v>1</x:v>
      </x:c>
      <x:c r="M128" t="n">
        <x:f>IF(LEFT(A128,8)="Pendente",1,0)</x:f>
        <x:v>0</x:v>
      </x:c>
    </x:row>
    <x:row r="129" ht="92" customHeight="1">
      <x:c r="A129" s="63" t="str">
        <x:v>Enviada</x:v>
      </x:c>
      <x:c r="B129" s="63" t="str">
        <x:v>Libbs Farmacêutica (Oficial)</x:v>
      </x:c>
      <x:c r="C129" s="63" t="str">
        <x:v>Desenvolvedor de Automação e IA Jr</x:v>
      </x:c>
      <x:c r="D129" s="63" t="str">
        <x:v>Automação e IA</x:v>
      </x:c>
      <x:c r="E129" s="63" t="str">
        <x:v>Remoto</x:v>
      </x:c>
      <x:c r="F129" s="63" t="str">
        <x:v>Acessar na plataforma (link privado removido)</x:v>
      </x:c>
      <x:c r="G129" s="63" t="str">
        <x:v>Etapas futuras incluem abordagem telefônica, entrevista e case; formato audiovisual do case não informado</x:v>
      </x:c>
      <x:c r="H129" s="63" t="str">
        <x:v>Acompanhar e-mail; validar formato e realizar pessoalmente qualquer case ou etapa de entrevista</x:v>
      </x:c>
      <x:c r="I129" s="63" t="str">
        <x:v>30/09/2026</x:v>
      </x:c>
      <x:c r="J129" s="63" t="str">
        <x:v>Candidatura personalizada e finalizada na Gupy antes do encerramento. Destacou Python/FastAPI, C#/.NET, SQL/PostgreSQL, APIs, Docker, Git, testes, logs e automação; RPA, BPM, Power Automate e Lecom foram tratados como temas de aprendizado.</x:v>
      </x:c>
      <x:c r="K129" s="63" t="str">
        <x:v>Portal — confirmação Gupy 30/09</x:v>
      </x:c>
      <x:c r="L129" t="n">
        <x:f>IF(LEFT(K129,3)="Sim",1,0)+IF(LEFT(K129,6)="Portal",1,0)</x:f>
        <x:v>1</x:v>
      </x:c>
      <x:c r="M129" t="n">
        <x:f>IF(LEFT(A129,8)="Pendente",1,0)</x:f>
        <x:v>0</x:v>
      </x:c>
    </x:row>
    <x:row r="130" ht="92" customHeight="1">
      <x:c r="A130" s="63" t="str">
        <x:v>Enviada</x:v>
      </x:c>
      <x:c r="B130" s="63" t="str">
        <x:v>Bellinati Perez</x:v>
      </x:c>
      <x:c r="C130" s="63" t="str">
        <x:v>Analista de Dados Júnior</x:v>
      </x:c>
      <x:c r="D130" s="63" t="str">
        <x:v>Dados e IA</x:v>
      </x:c>
      <x:c r="E130" s="63" t="str">
        <x:v>Curitiba/PR, presencial</x:v>
      </x:c>
      <x:c r="F130" s="63" t="str">
        <x:v>Acessar na plataforma (link privado removido)</x:v>
      </x:c>
      <x:c r="G130" s="63" t="str">
        <x:v>Teste técnico previsto; sem audiovisual declarado</x:v>
      </x:c>
      <x:c r="H130" s="63" t="str">
        <x:v>Acompanhar e-mail; realizar pessoalmente qualquer teste e validar o formato antes de iniciar</x:v>
      </x:c>
      <x:c r="I130" s="63" t="str">
        <x:v>30/09/2026</x:v>
      </x:c>
      <x:c r="J130" s="63" t="str">
        <x:v>Candidatura personalizada e finalizada na Gupy. Declarou Excel avançado, Python, SQL/PostgreSQL, APIs e integração de dados de projetos. A experiência em BI/Power BI foi informada com transparência como área de aprendizado; disponibilidade presencial em Curitiba foi confirmada.</x:v>
      </x:c>
      <x:c r="K130" s="63" t="str">
        <x:v>Portal — confirmação Gupy 30/09</x:v>
      </x:c>
      <x:c r="L130" t="n">
        <x:f>IF(LEFT(K130,3)="Sim",1,0)+IF(LEFT(K130,6)="Portal",1,0)</x:f>
        <x:v>1</x:v>
      </x:c>
      <x:c r="M130" t="n">
        <x:f>IF(LEFT(A130,8)="Pendente",1,0)</x:f>
        <x:v>0</x:v>
      </x:c>
    </x:row>
    <x:row r="131" ht="92" customHeight="1">
      <x:c r="A131" s="63" t="str">
        <x:v>Pendente — vídeo obrigatório</x:v>
      </x:c>
      <x:c r="B131" s="63" t="str">
        <x:v>PERILLO ENGENHARIA LTDA</x:v>
      </x:c>
      <x:c r="C131" s="63" t="str">
        <x:v>Desenvolvedor Full Stack Jr</x:v>
      </x:c>
      <x:c r="D131" s="63" t="str">
        <x:v>Desenvolvimento</x:v>
      </x:c>
      <x:c r="E131" s="63" t="str">
        <x:v>Piracicaba/SP, presencial; PJ</x:v>
      </x:c>
      <x:c r="F131" s="63" t="str">
        <x:v>https://perillojobs.vagas.solides.com.br/vaga/840448?origem=indeed</x:v>
      </x:c>
      <x:c r="G131" s="63" t="str">
        <x:v>Vídeo de apresentação obrigatório</x:v>
      </x:c>
      <x:c r="H131" s="63" t="str">
        <x:v>Gravar e enviar a apresentação pessoalmente; revisar RG antes de concluir a candidatura</x:v>
      </x:c>
      <x:c r="I131" s="63" t="str">
        <x:v>30/09/2026</x:v>
      </x:c>
      <x:c r="J131" s="63" t="str">
        <x:v>Vaga de R$5.000–6.000 PJ com aderência alta em TypeScript/Node, React, PostgreSQL, REST, Git, Docker, CI/CD e testes. O portal exige vídeo de apresentação e RG como campos obrigatórios; a candidatura não foi concluída para respeitar o protocolo audiovisual.</x:v>
      </x:c>
      <x:c r="K131" s="63" t="str">
        <x:v>Não — candidatura não concluída (vídeo obrigatório)</x:v>
      </x:c>
      <x:c r="L131" t="n">
        <x:f>IF(LEFT(K131,3)="Sim",1,0)+IF(LEFT(K131,6)="Portal",1,0)</x:f>
        <x:v>0</x:v>
      </x:c>
      <x:c r="M131" t="n">
        <x:f>IF(LEFT(A131,8)="Pendente",1,0)</x:f>
        <x:v>1</x:v>
      </x:c>
    </x:row>
    <x:row r="132" ht="92" customHeight="1">
      <x:c r="A132" s="32" t="str">
        <x:v>Pendente — dados cadastrais</x:v>
      </x:c>
      <x:c r="B132" s="63" t="str">
        <x:v>Avanade (Accenture)</x:v>
      </x:c>
      <x:c r="C132" s="63" t="str">
        <x:v>Desenvolvedor(a) FullStack Junior</x:v>
      </x:c>
      <x:c r="D132" s="63" t="str">
        <x:v>Desenvolvimento</x:v>
      </x:c>
      <x:c r="E132" s="63" t="str">
        <x:v>São Paulo/SP</x:v>
      </x:c>
      <x:c r="F132" s="63" t="str">
        <x:v>https://accenture.wd103.myworkdayjobs.com/pt-BR/AvanadeCareers/job/Sao-Paulo-Torre-Paineira/Desenvolvedor-a--FullStack_R00352707/apply</x:v>
      </x:c>
      <x:c r="G132" s="63" t="str">
        <x:v>Sem audiovisual declarado</x:v>
      </x:c>
      <x:c r="H132" s="63" t="str">
        <x:v>Preencher endereço completo no Workday, revisar os dados e enviar</x:v>
      </x:c>
      <x:c r="I132" s="63" t="str">
        <x:v>30/09/2026</x:v>
      </x:c>
      <x:c r="J132" s="63" t="str">
        <x:v>Fluxo originado no Indeed. Login com Google concluído no Workday, mas a candidatura exige endereço completo (logradouro, cidade, bairro, estado e CEP) antes de salvar. Esses dados não foram fornecidos nem inventados. Alta aderência em C#/.NET, React, TypeScript, APIs REST, SQL, testes e Git; Azure DevOps é tema de aprendizado.</x:v>
      </x:c>
      <x:c r="K132" s="63" t="str">
        <x:v>Não — formulário Workday não enviado</x:v>
      </x:c>
      <x:c r="L132" t="n">
        <x:f>IF(LEFT(K132,3)="Sim",1,0)+IF(LEFT(K132,6)="Portal",1,0)</x:f>
        <x:v>0</x:v>
      </x:c>
      <x:c r="M132" t="n">
        <x:f>IF(LEFT(A132,8)="Pendente",1,0)</x:f>
        <x:v>1</x:v>
      </x:c>
    </x:row>
    <x:row r="133" ht="92" customHeight="1">
      <x:c r="A133" s="32" t="str">
        <x:v>Enviada</x:v>
      </x:c>
      <x:c r="B133" s="63" t="str">
        <x:v>Vagas MRM Brasil</x:v>
      </x:c>
      <x:c r="C133" s="63" t="str">
        <x:v>Desenvolvedor Fullstack Jr</x:v>
      </x:c>
      <x:c r="D133" s="63" t="str">
        <x:v>Desenvolvimento</x:v>
      </x:c>
      <x:c r="E133" s="63" t="str">
        <x:v>São Paulo/SP, híbrido (3x por semana; Vila Madalena)</x:v>
      </x:c>
      <x:c r="F133" s="63" t="str">
        <x:v>Acessar na plataforma (link privado removido)</x:v>
      </x:c>
      <x:c r="G133" s="63" t="str">
        <x:v>Entrevistas técnica e de RH previstas; sem audiovisual declarado</x:v>
      </x:c>
      <x:c r="H133" s="63" t="str">
        <x:v>Acompanhar e-mail; validar formato de cada etapa e realizar pessoalmente qualquer entrevista ou avaliação</x:v>
      </x:c>
      <x:c r="I133" s="63" t="str">
        <x:v>30/09/2026</x:v>
      </x:c>
      <x:c r="J133" s="63" t="str">
        <x:v>Candidatura personalizada e finalizada na Gupy em 30/09. A vaga aceita primeira experiência técnica e projetos pessoais. O texto destacou APIs REST, integrações, SQL/PostgreSQL, Docker, Git, testes, C#/.NET, Python/FastAPI, JavaScript/TypeScript e uso criterioso de IA. Disponibilidade híbrida confirmada; inglês intermediário e pretensão a partir de R$3 mil foram informados.</x:v>
      </x:c>
      <x:c r="K133" s="63" t="str">
        <x:v>Portal — confirmação Gupy 30/09</x:v>
      </x:c>
      <x:c r="L133" t="n">
        <x:f>IF(LEFT(K133,3)="Sim",1,0)+IF(LEFT(K133,6)="Portal",1,0)</x:f>
        <x:v>1</x:v>
      </x:c>
      <x:c r="M133" t="n">
        <x:f>IF(LEFT(A133,8)="Pendente",1,0)</x:f>
        <x:v>0</x:v>
      </x:c>
    </x:row>
    <x:row r="134" ht="92" customHeight="1">
      <x:c r="A134" s="63" t="str">
        <x:v>Enviada</x:v>
      </x:c>
      <x:c r="B134" s="63" t="str">
        <x:v>Instituto de Pesquisas Eldorado</x:v>
      </x:c>
      <x:c r="C134" s="63" t="str">
        <x:v>Pessoa desenvolvedora Machine Learning</x:v>
      </x:c>
      <x:c r="D134" s="63" t="str">
        <x:v>Dados e IA</x:v>
      </x:c>
      <x:c r="E134" s="63" t="str">
        <x:v>Brasília/DF, híbrido (2x presencial; mudança disponível)</x:v>
      </x:c>
      <x:c r="F134" s="63" t="str">
        <x:v>Acessar na plataforma (link privado removido)</x:v>
      </x:c>
      <x:c r="G134" s="63" t="str">
        <x:v>Entrevistas com área e RH previstas; sem audiovisual declarado</x:v>
      </x:c>
      <x:c r="H134" s="63" t="str">
        <x:v>Acompanhar e-mail; validar formato e realizar pessoalmente qualquer entrevista ou avaliação</x:v>
      </x:c>
      <x:c r="I134" s="63" t="str">
        <x:v>30/09/2026</x:v>
      </x:c>
      <x:c r="J134" s="63" t="str">
        <x:v>Candidatura personalizada e finalizada na Gupy. Apresentação transparente: Python, APIs, SQL/PostgreSQL, dados, Docker, cloud e IA aplicada; bibliotecas e modelagem de ML estão em aprofundamento, sem alegar experiência profissional em ML. Habilidades: Python, SQL e Google Cloud Platform. Disponibilidade híbrida e mudança confirmadas; pretensão a partir de R$3 mil.</x:v>
      </x:c>
      <x:c r="K134" s="63" t="str">
        <x:v>Portal — confirmação Gupy 30/09</x:v>
      </x:c>
      <x:c r="L134" t="n">
        <x:f>IF(LEFT(K134,3)="Sim",1,0)+IF(LEFT(K134,6)="Portal",1,0)</x:f>
        <x:v>1</x:v>
      </x:c>
      <x:c r="M134" t="n">
        <x:f>IF(LEFT(A134,8)="Pendente",1,0)</x:f>
        <x:v>0</x:v>
      </x:c>
    </x:row>
    <x:row r="135" ht="92" customHeight="1">
      <x:c r="A135" s="63" t="str">
        <x:v>Pendente — reCAPTCHA</x:v>
      </x:c>
      <x:c r="B135" s="63" t="str">
        <x:v>Lyncas</x:v>
      </x:c>
      <x:c r="C135" s="63" t="str">
        <x:v>Desenvolvedor FullStack Júnior | Node e React</x:v>
      </x:c>
      <x:c r="D135" s="63" t="str">
        <x:v>Desenvolvimento</x:v>
      </x:c>
      <x:c r="E135" s="63" t="str">
        <x:v>São Paulo/SP, híbrido</x:v>
      </x:c>
      <x:c r="F135" s="63" t="str">
        <x:v>https://br.indeed.com/viewjob?jk=6e7370b4d29e3b69</x:v>
      </x:c>
      <x:c r="G135" s="63" t="str">
        <x:v>Sem audiovisual declarado</x:v>
      </x:c>
      <x:c r="H135" s="63" t="str">
        <x:v>Abrir em Minhas Vagas no Indeed, concluir o reCAPTCHA normal e enviar pessoalmente</x:v>
      </x:c>
      <x:c r="I135" s="63" t="str">
        <x:v>30/09/2026</x:v>
      </x:c>
      <x:c r="J135" s="63" t="str">
        <x:v>Candidatura personalizada chegou a 100% no Indeed e foi salva por 14 dias. Currículo selecionado; dados factuais: ADS em andamento, React/Next e Node/Nest em projetos (menos de um ano), foco principal em backend, Git, Docker, GCP, testes e IA/ChatGPT. Pretensão registrada em R$3.000 PJ e CLT; envio final bloqueado por reCAPTCHA, não contornado.</x:v>
      </x:c>
      <x:c r="K135" s="63" t="str">
        <x:v>Não — rascunho 100% no Indeed</x:v>
      </x:c>
      <x:c r="L135" t="n">
        <x:f>IF(LEFT(K135,3)="Sim",1,0)+IF(LEFT(K135,6)="Portal",1,0)</x:f>
        <x:v>0</x:v>
      </x:c>
      <x:c r="M135" t="n">
        <x:f>IF(LEFT(A135,8)="Pendente",1,0)</x:f>
        <x:v>1</x:v>
      </x:c>
    </x:row>
    <x:row r="136" ht="92" customHeight="1">
      <x:c r="A136" s="63" t="str">
        <x:v>Pendente — reCAPTCHA</x:v>
      </x:c>
      <x:c r="B136" s="63" t="str">
        <x:v>Valor Real Empreendimentos</x:v>
      </x:c>
      <x:c r="C136" s="63" t="str">
        <x:v>Desenvolvedor Full Stack Júnior</x:v>
      </x:c>
      <x:c r="D136" s="63" t="str">
        <x:v>Desenvolvimento e IA</x:v>
      </x:c>
      <x:c r="E136" s="63" t="str">
        <x:v>Curitiba/PR, presencial; PJ</x:v>
      </x:c>
      <x:c r="F136" s="63" t="str">
        <x:v>https://br.indeed.com/viewjob?jk=5d3f5ace8e47efff</x:v>
      </x:c>
      <x:c r="G136" s="63" t="str">
        <x:v>Sem audiovisual declarado</x:v>
      </x:c>
      <x:c r="H136" s="63" t="str">
        <x:v>Abrir em Minhas Vagas no Indeed, concluir o reCAPTCHA normal e enviar pessoalmente</x:v>
      </x:c>
      <x:c r="I136" s="63" t="str">
        <x:v>30/09/2026</x:v>
      </x:c>
      <x:c r="J136" s="63" t="str">
        <x:v>Candidatura personalizada chegou a 100% no Indeed e foi salva por 14 dias. Perfil e respostas factuais destacaram JavaScript/TypeScript, React, SQL/PostgreSQL, APIs REST, Git, Python, Docker, Linux e IA/LLM em projetos. Salário informado de R$3.000 e disponibilidade para Curitiba; envio final bloqueado por reCAPTCHA, não contornado.</x:v>
      </x:c>
      <x:c r="K136" s="63" t="str">
        <x:v>Não — rascunho 100% no Indeed</x:v>
      </x:c>
      <x:c r="L136" t="n">
        <x:f>IF(LEFT(K136,3)="Sim",1,0)+IF(LEFT(K136,6)="Portal",1,0)</x:f>
        <x:v>0</x:v>
      </x:c>
      <x:c r="M136" t="n">
        <x:f>IF(LEFT(A136,8)="Pendente",1,0)</x:f>
        <x:v>1</x:v>
      </x:c>
    </x:row>
    <x:row r="137" ht="92" customHeight="1">
      <x:c r="A137" s="63" t="str">
        <x:v>Pendente — reCAPTCHA</x:v>
      </x:c>
      <x:c r="B137" s="63" t="str">
        <x:v>Luby</x:v>
      </x:c>
      <x:c r="C137" s="63" t="str">
        <x:v>Profissional Fullstack (IA/Javascript) Trainee/Júnior</x:v>
      </x:c>
      <x:c r="D137" s="63" t="str">
        <x:v>Desenvolvimento e IA</x:v>
      </x:c>
      <x:c r="E137" s="63" t="str">
        <x:v>Remoto</x:v>
      </x:c>
      <x:c r="F137" s="63" t="str">
        <x:v>https://br.indeed.com/viewjob?jk=553ff80e554c6463</x:v>
      </x:c>
      <x:c r="G137" s="63" t="str">
        <x:v>Sem audiovisual declarado</x:v>
      </x:c>
      <x:c r="H137" s="63" t="str">
        <x:v>Abrir em Minhas Vagas no Indeed, concluir o reCAPTCHA normal e enviar pessoalmente</x:v>
      </x:c>
      <x:c r="I137" s="63" t="str">
        <x:v>30/09/2026</x:v>
      </x:c>
      <x:c r="J137" s="63" t="str">
        <x:v>Candidatura chegou a 100% no Indeed com currículo técnico selecionado e respostas previamente revisadas. O envio final foi bloqueado por reCAPTCHA; o rascunho foi salvo por 14 dias e a verificação não foi contornada.</x:v>
      </x:c>
      <x:c r="K137" s="63" t="str">
        <x:v>Não — rascunho 100% no Indeed</x:v>
      </x:c>
      <x:c r="L137" t="n">
        <x:f>IF(LEFT(K137,3)="Sim",1,0)+IF(LEFT(K137,6)="Portal",1,0)</x:f>
        <x:v>0</x:v>
      </x:c>
      <x:c r="M137" t="n">
        <x:f>IF(LEFT(A137,8)="Pendente",1,0)</x:f>
        <x:v>1</x:v>
      </x:c>
    </x:row>
    <x:row r="138" ht="92" customHeight="1">
      <x:c r="A138" s="63" t="str">
        <x:v>Pendente — falha de formulário</x:v>
      </x:c>
      <x:c r="B138" s="63" t="str">
        <x:v>ISA Saúde</x:v>
      </x:c>
      <x:c r="C138" s="63" t="str">
        <x:v>Desenvolvedor(a) Full Stack</x:v>
      </x:c>
      <x:c r="D138" s="63" t="str">
        <x:v>Desenvolvimento</x:v>
      </x:c>
      <x:c r="E138" s="63" t="str">
        <x:v>Não informado</x:v>
      </x:c>
      <x:c r="F138" s="63" t="str">
        <x:v>Acessar na plataforma (link privado removido)</x:v>
      </x:c>
      <x:c r="G138" s="63" t="str">
        <x:v>Sem audiovisual declarado</x:v>
      </x:c>
      <x:c r="H138" s="63" t="str">
        <x:v>Retomar no portal Gupy; a página de perguntas da empresa não carregou</x:v>
      </x:c>
      <x:c r="I138" s="63" t="str">
        <x:v>30/09/2026</x:v>
      </x:c>
      <x:c r="J138" s="63" t="str">
        <x:v>A vaga tem aderência em JavaScript/TypeScript, React/Next, Node, APIs e PostgreSQL. Dados iniciais foram preenchidos de forma factual, mas a página de perguntas personalizadas ficou em branco e não avançou após salvar. Nenhuma candidatura finalizada foi confirmada.</x:v>
      </x:c>
      <x:c r="K138" s="63" t="str">
        <x:v>Não — plataforma não avançou</x:v>
      </x:c>
      <x:c r="L138" t="n">
        <x:f>IF(LEFT(K138,3)="Sim",1,0)+IF(LEFT(K138,6)="Portal",1,0)</x:f>
        <x:v>0</x:v>
      </x:c>
      <x:c r="M138" t="n">
        <x:f>IF(LEFT(A138,8)="Pendente",1,0)</x:f>
        <x:v>1</x:v>
      </x:c>
    </x:row>
    <x:row r="139" ht="92" customHeight="1">
      <x:c r="A139" s="63" t="str">
        <x:v>Pendente — CNH a confirmar</x:v>
      </x:c>
      <x:c r="B139" s="63" t="str">
        <x:v>ZOUPHY Tecnologia</x:v>
      </x:c>
      <x:c r="C139" s="63" t="str">
        <x:v>Desenvolvedor Front-end (React)</x:v>
      </x:c>
      <x:c r="D139" s="63" t="str">
        <x:v>Desenvolvimento</x:v>
      </x:c>
      <x:c r="E139" s="63" t="str">
        <x:v>Barueri/SP, híbrido (3x2); Cooperado</x:v>
      </x:c>
      <x:c r="F139" s="63" t="str">
        <x:v>https://zouphy.vagas.solides.com.br/vaga/518220?origem=indeed</x:v>
      </x:c>
      <x:c r="G139" s="63" t="str">
        <x:v>Vídeo de apresentação opcional; não iniciado</x:v>
      </x:c>
      <x:c r="H139" s="63" t="str">
        <x:v>Confirmar se possui CNH válida e informar pretensão antes de concluir; manter vídeo opcional sem iniciar</x:v>
      </x:c>
      <x:c r="I139" s="63" t="str">
        <x:v>30/09/2026</x:v>
      </x:c>
      <x:c r="J139" s="63" t="str">
        <x:v>Perfil Sólides revisado com dados factuais e nome completo corrigido. A vaga é aderente a JavaScript/TypeScript, React de projetos, Git, Docker e CI/CD. A plataforma exige CNH válida e pretensão salarial; como a informação de CNH não foi fornecida, a candidatura não foi enviada.</x:v>
      </x:c>
      <x:c r="K139" s="63" t="str">
        <x:v>Não — CNH obrigatória não confirmada</x:v>
      </x:c>
      <x:c r="L139" t="n">
        <x:f>IF(LEFT(K139,3)="Sim",1,0)+IF(LEFT(K139,6)="Portal",1,0)</x:f>
        <x:v>0</x:v>
      </x:c>
      <x:c r="M139" t="n">
        <x:f>IF(LEFT(A139,8)="Pendente",1,0)</x:f>
        <x:v>1</x:v>
      </x:c>
    </x:row>
    <x:row r="140" ht="94" customHeight="1">
      <x:c r="A140" s="32" t="str">
        <x:v>Pendente — reCAPTCHA</x:v>
      </x:c>
      <x:c r="B140" s="63" t="str">
        <x:v>Engemoura Tecnologia Energética</x:v>
      </x:c>
      <x:c r="C140" s="63" t="str">
        <x:v>Desenvolvedor</x:v>
      </x:c>
      <x:c r="D140" s="63" t="str">
        <x:v>Desenvolvimento e automação</x:v>
      </x:c>
      <x:c r="E140" s="63" t="str">
        <x:v>São Paulo/SP, presencial</x:v>
      </x:c>
      <x:c r="F140" s="63" t="str">
        <x:v>https://br.indeed.com/viewjob?jk=e855bb6ab23a9103</x:v>
      </x:c>
      <x:c r="G140" s="63" t="str">
        <x:v>Sem audiovisual declarado</x:v>
      </x:c>
      <x:c r="H140" s="63" t="str">
        <x:v>Abrir em Minhas Vagas no Indeed, concluir o reCAPTCHA normal e enviar pessoalmente</x:v>
      </x:c>
      <x:c r="I140" s="63" t="str">
        <x:v>30/09/2026</x:v>
      </x:c>
      <x:c r="J140" s="63" t="str">
        <x:v>Vaga com salário oficial de R$3.000–6.000. A candidatura chegou a 100% no Indeed e foi salva por 14 dias, com currículo técnico selecionado. Aderência em React, TypeScript, REST, Git, testes, SQL, automação e IA; PHP, RPA, n8n e SQL Server permanecem como temas de aprendizado. O envio final ficou bloqueado por reCAPTCHA, não contornado.</x:v>
      </x:c>
      <x:c r="K140" s="63" t="str">
        <x:v>Não — rascunho 100% no Indeed</x:v>
      </x:c>
      <x:c r="L140" t="n">
        <x:f>IF(LEFT(K140,3)="Sim",1,0)+IF(LEFT(K140,6)="Portal",1,0)</x:f>
        <x:v>0</x:v>
      </x:c>
      <x:c r="M140" t="n">
        <x:f>IF(LEFT(A140,8)="Pendente",1,0)</x:f>
        <x:v>1</x:v>
      </x:c>
    </x:row>
    <x:row r="141" ht="94" customHeight="1">
      <x:c r="A141" s="63" t="str">
        <x:v>Pendente — reCAPTCHA</x:v>
      </x:c>
      <x:c r="B141" s="63" t="str">
        <x:v>Digisystem</x:v>
      </x:c>
      <x:c r="C141" s="63" t="str">
        <x:v>Analista de Desenvolvimento Jr</x:v>
      </x:c>
      <x:c r="D141" s="63" t="str">
        <x:v>Desenvolvimento</x:v>
      </x:c>
      <x:c r="E141" s="63" t="str">
        <x:v>São Paulo/SP, híbrido; CLT</x:v>
      </x:c>
      <x:c r="F141" s="63" t="str">
        <x:v>https://br.indeed.com/viewjob?jk=cd766d5302c29bc1</x:v>
      </x:c>
      <x:c r="G141" s="63" t="str">
        <x:v>Sem audiovisual declarado</x:v>
      </x:c>
      <x:c r="H141" s="63" t="str">
        <x:v>Abrir em Minhas Vagas no Indeed, concluir o reCAPTCHA normal e enviar pessoalmente</x:v>
      </x:c>
      <x:c r="I141" s="63" t="str">
        <x:v>30/09/2026</x:v>
      </x:c>
      <x:c r="J141" s="63" t="str">
        <x:v>Candidatura chegou a 100% e foi salva por 14 dias. A vaga aceita 0–2 anos, estágio, projetos acadêmicos ou pessoais e exige linguagem de programação, SQL, APIs REST, Git e testes — todos alinhados ao currículo técnico. O envio final ficou bloqueado por reCAPTCHA, não contornado.</x:v>
      </x:c>
      <x:c r="K141" s="63" t="str">
        <x:v>Não — rascunho 100% no Indeed</x:v>
      </x:c>
      <x:c r="L141" t="n">
        <x:f>IF(LEFT(K141,3)="Sim",1,0)+IF(LEFT(K141,6)="Portal",1,0)</x:f>
        <x:v>0</x:v>
      </x:c>
      <x:c r="M141" t="n">
        <x:f>IF(LEFT(A141,8)="Pendente",1,0)</x:f>
        <x:v>1</x:v>
      </x:c>
    </x:row>
    <x:row r="142" ht="94" customHeight="1">
      <x:c r="A142" s="63" t="str">
        <x:v>Pendente — reCAPTCHA</x:v>
      </x:c>
      <x:c r="B142" s="63" t="str">
        <x:v>Keyrus Brazil</x:v>
      </x:c>
      <x:c r="C142" s="63" t="str">
        <x:v>Data Engineer Jr (Snowflake)</x:v>
      </x:c>
      <x:c r="D142" s="63" t="str">
        <x:v>Dados e IA</x:v>
      </x:c>
      <x:c r="E142" s="63" t="str">
        <x:v>São Paulo/SP, presencial/híbrido não declarado</x:v>
      </x:c>
      <x:c r="F142" s="63" t="str">
        <x:v>https://br.indeed.com/viewjob?jk=c80baa59d4edaac6</x:v>
      </x:c>
      <x:c r="G142" s="63" t="str">
        <x:v>Sem audiovisual declarado</x:v>
      </x:c>
      <x:c r="H142" s="63" t="str">
        <x:v>Abrir em Minhas Vagas no Indeed, concluir o reCAPTCHA normal e enviar pessoalmente</x:v>
      </x:c>
      <x:c r="I142" s="63" t="str">
        <x:v>30/09/2026</x:v>
      </x:c>
      <x:c r="J142" s="63" t="str">
        <x:v>Candidatura chegou a 100% e foi salva por 14 dias. A vaga aceita formação em andamento e tem aderência em SQL, Python, ETL/ELT, testes de dados e GCP. Snowflake, dbt e orquestração foram tratados como gaps de estudo, sem alegar experiência inexistente. O envio final ficou bloqueado por reCAPTCHA, não contornado.</x:v>
      </x:c>
      <x:c r="K142" s="63" t="str">
        <x:v>Não — rascunho 100% no Indeed</x:v>
      </x:c>
      <x:c r="L142" t="n">
        <x:f>IF(LEFT(K142,3)="Sim",1,0)+IF(LEFT(K142,6)="Portal",1,0)</x:f>
        <x:v>0</x:v>
      </x:c>
      <x:c r="M142" t="n">
        <x:f>IF(LEFT(A142,8)="Pendente",1,0)</x:f>
        <x:v>1</x:v>
      </x:c>
    </x:row>
    <x:row r="143" ht="94" customHeight="1">
      <x:c r="A143" s="63" t="str">
        <x:v>Pendente — reCAPTCHA</x:v>
      </x:c>
      <x:c r="B143" s="63" t="str">
        <x:v>VESTE SA ESTILO</x:v>
      </x:c>
      <x:c r="C143" s="63" t="str">
        <x:v>Desenvolvedor Full Stack - Jr</x:v>
      </x:c>
      <x:c r="D143" s="63" t="str">
        <x:v>Desenvolvimento</x:v>
      </x:c>
      <x:c r="E143" s="63" t="str">
        <x:v>São Paulo/SP, presencial/híbrido não declarado; CLT</x:v>
      </x:c>
      <x:c r="F143" s="63" t="str">
        <x:v>https://br.indeed.com/viewjob?jk=bcbac382c1760b0c</x:v>
      </x:c>
      <x:c r="G143" s="63" t="str">
        <x:v>Sem audiovisual declarado</x:v>
      </x:c>
      <x:c r="H143" s="63" t="str">
        <x:v>Abrir em Minhas Vagas no Indeed, concluir o reCAPTCHA normal e enviar pessoalmente</x:v>
      </x:c>
      <x:c r="I143" s="63" t="str">
        <x:v>30/09/2026</x:v>
      </x:c>
      <x:c r="J143" s="63" t="str">
        <x:v>Candidatura chegou a 100% e foi salva por 14 dias, com currículo técnico selecionado. Aderência em React, TypeScript, Node, APIs REST, Git, testes e correção de bugs; VTEX é diferencial em aprendizado. O envio final ficou bloqueado por reCAPTCHA, não contornado.</x:v>
      </x:c>
      <x:c r="K143" s="63" t="str">
        <x:v>Não — rascunho 100% no Indeed</x:v>
      </x:c>
      <x:c r="L143" t="n">
        <x:f>IF(LEFT(K143,3)="Sim",1,0)+IF(LEFT(K143,6)="Portal",1,0)</x:f>
        <x:v>0</x:v>
      </x:c>
      <x:c r="M143" t="n">
        <x:f>IF(LEFT(A143,8)="Pendente",1,0)</x:f>
        <x:v>1</x:v>
      </x:c>
    </x:row>
    <x:row r="144" ht="94" customHeight="1">
      <x:c r="A144" s="63" t="str">
        <x:v>Pendente — tempo de experiência a confirmar</x:v>
      </x:c>
      <x:c r="B144" s="63" t="str">
        <x:v>Assertiv Benefícios e Seguros</x:v>
      </x:c>
      <x:c r="C144" s="63" t="str">
        <x:v>Analista de desenvolvedor JavaScript</x:v>
      </x:c>
      <x:c r="D144" s="63" t="str">
        <x:v>Desenvolvimento</x:v>
      </x:c>
      <x:c r="E144" s="63" t="str">
        <x:v>São Paulo/SP</x:v>
      </x:c>
      <x:c r="F144" s="63" t="str">
        <x:v>https://br.indeed.com/viewjob?jk=778889bd1597e8a1</x:v>
      </x:c>
      <x:c r="G144" s="63" t="str">
        <x:v>Sem audiovisual declarado</x:v>
      </x:c>
      <x:c r="H144" s="63" t="str">
        <x:v>Confirmar período real de experiência que possa ser declarado; só então revisar e enviar</x:v>
      </x:c>
      <x:c r="I144" s="63" t="str">
        <x:v>30/09/2026</x:v>
      </x:c>
      <x:c r="J144" s="63" t="str">
        <x:v>Currículo técnico foi selecionado e o formulário avançou a 50%. A empresa exige no mínimo 1 ano numérico de experiência em uma lista ampla de tecnologias e também no cargo de Analista JavaScript. Como não há período verificável fornecido para declarar esse requisito, o processo foi salvo sem inventar tempo de experiência.</x:v>
      </x:c>
      <x:c r="K144" s="63" t="str">
        <x:v>Não — rascunho 50% no Indeed</x:v>
      </x:c>
      <x:c r="L144" t="n">
        <x:f>IF(LEFT(K144,3)="Sim",1,0)+IF(LEFT(K144,6)="Portal",1,0)</x:f>
        <x:v>0</x:v>
      </x:c>
      <x:c r="M144" t="n">
        <x:f>IF(LEFT(A144,8)="Pendente",1,0)</x:f>
        <x:v>1</x:v>
      </x:c>
    </x:row>
    <x:row r="145" ht="94" customHeight="1">
      <x:c r="A145" s="63" t="str">
        <x:v>Pendente — dado pessoal faltante</x:v>
      </x:c>
      <x:c r="B145" s="63" t="str">
        <x:v>Saquers Tech</x:v>
      </x:c>
      <x:c r="C145" s="63" t="str">
        <x:v>Desenvolvedor(a) Node I</x:v>
      </x:c>
      <x:c r="D145" s="63" t="str">
        <x:v>Desenvolvimento</x:v>
      </x:c>
      <x:c r="E145" s="63" t="str">
        <x:v>Porto Alegre/RS, presencial</x:v>
      </x:c>
      <x:c r="F145" s="63" t="str">
        <x:v>Acessar na plataforma (link privado removido)</x:v>
      </x:c>
      <x:c r="G145" s="63" t="str">
        <x:v>Triagem, conversas com Pessoas e Cultura e liderança; sem audiovisual declarado</x:v>
      </x:c>
      <x:c r="H145" s="63" t="str">
        <x:v>Informar o nome completo do pai para responder a pergunta obrigatória e continuar</x:v>
      </x:c>
      <x:c r="I145" s="63" t="str">
        <x:v>30/09/2026</x:v>
      </x:c>
      <x:c r="J145" s="63" t="str">
        <x:v>Vaga aderente a Node.js, JavaScript, APIs REST, Git/GitHub, SQL, React, TypeScript, Docker e testes. A Gupy exige RG, nome completo da mãe, nome completo do pai, pretensão e comentário de experiência C/C++/JavaScript. RG e nome da mãe são conhecidos; o nome do pai não foi fornecido, portanto a candidatura não foi concluída nem foi inventado dado pessoal.</x:v>
      </x:c>
      <x:c r="K145" s="63" t="str">
        <x:v>Não — perguntas obrigatórias não concluídas</x:v>
      </x:c>
      <x:c r="L145" t="n">
        <x:f>IF(LEFT(K145,3)="Sim",1,0)+IF(LEFT(K145,6)="Portal",1,0)</x:f>
        <x:v>0</x:v>
      </x:c>
      <x:c r="M145" t="n">
        <x:f>IF(LEFT(A145,8)="Pendente",1,0)</x:f>
        <x:v>1</x:v>
      </x:c>
    </x:row>
    <x:row r="146" ht="94" customHeight="1">
      <x:c r="A146" s="63" t="str">
        <x:v>Pendente — dados acadêmicos</x:v>
      </x:c>
      <x:c r="B146" s="63" t="str">
        <x:v>v(dev) / Grupo Visagio</x:v>
      </x:c>
      <x:c r="C146" s="63" t="str">
        <x:v>Visagio Talentos — Estágio: Desenvolvedor(a) de Software</x:v>
      </x:c>
      <x:c r="D146" s="63" t="str">
        <x:v>Desenvolvimento, dados e automação</x:v>
      </x:c>
      <x:c r="E146" s="63" t="str">
        <x:v>Remoto; banco de talentos</x:v>
      </x:c>
      <x:c r="F146" s="63" t="str">
        <x:v>Acessar na plataforma (link privado removido)</x:v>
      </x:c>
      <x:c r="G146" s="63" t="str">
        <x:v>Etapas online e entrevistas futuras; sem audiovisual declarado</x:v>
      </x:c>
      <x:c r="H146" s="63" t="str">
        <x:v>Informar CR e grade horária real da faculdade para continuar</x:v>
      </x:c>
      <x:c r="I146" s="63" t="str">
        <x:v>30/09/2026</x:v>
      </x:c>
      <x:c r="J146" s="63" t="str">
        <x:v>Banco de talentos de estágio com formação em andamento e sem experiência formal obrigatória. A Gupy exige Coeficiente de Rendimento e grade horária detalhada; esses dados não foram fornecidos e não foram estimados. A candidatura não foi concluída.</x:v>
      </x:c>
      <x:c r="K146" s="63" t="str">
        <x:v>Não — perguntas obrigatórias não concluídas</x:v>
      </x:c>
      <x:c r="L146" t="n">
        <x:f>IF(LEFT(K146,3)="Sim",1,0)+IF(LEFT(K146,6)="Portal",1,0)</x:f>
        <x:v>0</x:v>
      </x:c>
      <x:c r="M146" t="n">
        <x:f>IF(LEFT(A146,8)="Pendente",1,0)</x:f>
        <x:v>1</x:v>
      </x:c>
    </x:row>
    <x:row r="147" ht="94" customHeight="1">
      <x:c r="A147" s="63" t="str">
        <x:v>Pendente — reCAPTCHA</x:v>
      </x:c>
      <x:c r="B147" s="63" t="str">
        <x:v>NSTECH / eFrete</x:v>
      </x:c>
      <x:c r="C147" s="63" t="str">
        <x:v>Analista de Dados Jr</x:v>
      </x:c>
      <x:c r="D147" s="63" t="str">
        <x:v>Dados e IA</x:v>
      </x:c>
      <x:c r="E147" s="63" t="str">
        <x:v>São Paulo/SP, híbrido (Moema)</x:v>
      </x:c>
      <x:c r="F147" s="63" t="str">
        <x:v>https://br.indeed.com/viewjob?jk=90c50de3798b486a</x:v>
      </x:c>
      <x:c r="G147" s="63" t="str">
        <x:v>Sem audiovisual declarado</x:v>
      </x:c>
      <x:c r="H147" s="63" t="str">
        <x:v>Abrir em Minhas Vagas no Indeed, concluir o reCAPTCHA normal e enviar pessoalmente</x:v>
      </x:c>
      <x:c r="I147" s="63" t="str">
        <x:v>30/09/2026</x:v>
      </x:c>
      <x:c r="J147" s="63" t="str">
        <x:v>Candidatura chegou a 100% e foi salva por 14 dias. Dados factuais preenchidos: LinkedIn, CPF, disponibilidade híbrida, pretensão CLT de R$4.500 e autoidentificação. Aderência em SQL/PostgreSQL, Python, Excel e dados; Power BI e PDI/Pentaho estão em aprofundamento. O envio final ficou bloqueado por reCAPTCHA, não contornado.</x:v>
      </x:c>
      <x:c r="K147" s="63" t="str">
        <x:v>Não — rascunho 100% no Indeed</x:v>
      </x:c>
      <x:c r="L147" t="n">
        <x:f>IF(LEFT(K147,3)="Sim",1,0)+IF(LEFT(K147,6)="Portal",1,0)</x:f>
        <x:v>0</x:v>
      </x:c>
      <x:c r="M147" t="n">
        <x:f>IF(LEFT(A147,8)="Pendente",1,0)</x:f>
        <x:v>1</x:v>
      </x:c>
    </x:row>
    <x:row r="148" ht="94" customHeight="1">
      <x:c r="A148" s="63" t="str">
        <x:v>Pendente — reCAPTCHA</x:v>
      </x:c>
      <x:c r="B148" s="63" t="str">
        <x:v>TechBrabo / MONT SEGURO</x:v>
      </x:c>
      <x:c r="C148" s="63" t="str">
        <x:v>Desenvolvedor Full Stack Jr</x:v>
      </x:c>
      <x:c r="D148" s="63" t="str">
        <x:v>Desenvolvimento e IA</x:v>
      </x:c>
      <x:c r="E148" s="63" t="str">
        <x:v>Brasília/DF, presencial; PJ</x:v>
      </x:c>
      <x:c r="F148" s="63" t="str">
        <x:v>https://br.indeed.com/viewjob?jk=e1f7406e162b0c90</x:v>
      </x:c>
      <x:c r="G148" s="63" t="str">
        <x:v>Sem audiovisual declarado</x:v>
      </x:c>
      <x:c r="H148" s="63" t="str">
        <x:v>Abrir em Minhas Vagas no Indeed, concluir o reCAPTCHA normal e enviar pessoalmente</x:v>
      </x:c>
      <x:c r="I148" s="63" t="str">
        <x:v>30/09/2026</x:v>
      </x:c>
      <x:c r="J148" s="63" t="str">
        <x:v>Vaga com salário oficial de R$3.300 PJ. Candidatura chegou a 100% e foi salva por 14 dias, com currículo selecionado e dados cadastrais factuais informados. Aderência em Python, React de projetos, APIs, Docker, CI/CD e IA; Django, n8n e Make permanecem como temas de estudo. O envio final ficou bloqueado por reCAPTCHA, não contornado.</x:v>
      </x:c>
      <x:c r="K148" s="63" t="str">
        <x:v>Não — rascunho 100% no Indeed</x:v>
      </x:c>
      <x:c r="L148" t="n">
        <x:f>IF(LEFT(K148,3)="Sim",1,0)+IF(LEFT(K148,6)="Portal",1,0)</x:f>
        <x:v>0</x:v>
      </x:c>
      <x:c r="M148" t="n">
        <x:f>IF(LEFT(A148,8)="Pendente",1,0)</x:f>
        <x:v>1</x:v>
      </x:c>
    </x:row>
    <x:row r="149" ht="94" customHeight="1">
      <x:c r="A149" s="63" t="str">
        <x:v>Pendente — Profiler comportamental</x:v>
      </x:c>
      <x:c r="B149" s="63" t="str">
        <x:v>Grupo Costa Norte de Comunicação</x:v>
      </x:c>
      <x:c r="C149" s="63" t="str">
        <x:v>Desenvolvedor de Software - Júnior</x:v>
      </x:c>
      <x:c r="D149" s="63" t="str">
        <x:v>Desenvolvimento e automação</x:v>
      </x:c>
      <x:c r="E149" s="63" t="str">
        <x:v>Bertioga/SP, presencial; CLT</x:v>
      </x:c>
      <x:c r="F149" s="63" t="str">
        <x:v>https://grupocostanorte.vagas.solides.com.br/vaga/914427?origem=indeed</x:v>
      </x:c>
      <x:c r="G149" s="63" t="str">
        <x:v>Profiler comportamental apresentado pela plataforma; vídeo opcional não iniciado</x:v>
      </x:c>
      <x:c r="H149" s="63" t="str">
        <x:v>Concluir o Profiler pessoalmente e retornar à Sólides para efetuar a candidatura</x:v>
      </x:c>
      <x:c r="I149" s="63" t="str">
        <x:v>30/09/2026</x:v>
      </x:c>
      <x:c r="J149" s="63" t="str">
        <x:v>Vaga com salário oficial de R$3.500 CLT e boa aderência em Python, JavaScript/TypeScript, SQL, Git, APIs, testes e documentação. O currículo Sólides foi revisado e salvo sem vídeo; a plataforma passou a exigir/mostrar Profiler antes do avanço final. A candidatura não foi enviada.</x:v>
      </x:c>
      <x:c r="K149" s="63" t="str">
        <x:v>Não — currículo salvo, candidatura não confirmada</x:v>
      </x:c>
      <x:c r="L149" t="n">
        <x:f>IF(LEFT(K149,3)="Sim",1,0)+IF(LEFT(K149,6)="Portal",1,0)</x:f>
        <x:v>0</x:v>
      </x:c>
      <x:c r="M149" t="n">
        <x:f>IF(LEFT(A149,8)="Pendente",1,0)</x:f>
        <x:v>1</x:v>
      </x:c>
    </x:row>
    <x:row r="150" ht="94" customHeight="1">
      <x:c r="A150" s="63" t="str">
        <x:v>Enviada</x:v>
      </x:c>
      <x:c r="B150" s="63" t="str">
        <x:v>IVO Services (via Jobbol)</x:v>
      </x:c>
      <x:c r="C150" s="63" t="str">
        <x:v>Analista de Sistemas em Aplicações e Full Stack Júnior</x:v>
      </x:c>
      <x:c r="D150" s="63" t="str">
        <x:v>Desenvolvimento e integrações</x:v>
      </x:c>
      <x:c r="E150" s="63" t="str">
        <x:v>São Paulo/SP, híbrido</x:v>
      </x:c>
      <x:c r="F150" s="63" t="str">
        <x:v>https://www.jobbol.com.br/vaga/29387065797</x:v>
      </x:c>
      <x:c r="G150" s="63" t="str">
        <x:v>Contato posterior por WhatsApp informado pelo portal; sem audiovisual declarado</x:v>
      </x:c>
      <x:c r="H150" s="63" t="str">
        <x:v>Acompanhar o e-mail e o contato escrito do recrutador; validar o formato de qualquer nova etapa</x:v>
      </x:c>
      <x:c r="I150" s="63" t="str">
        <x:v>30/09/2026</x:v>
      </x:c>
      <x:c r="J150" s="63" t="str">
        <x:v>Candidatura enviada via Jobbol com nome, celular e e-mail factuais. O portal exibiu 'Candidatura registrada com sucesso!' e protocolo DX0634400, além de confirmação por e-mail. A vaga requer formação em andamento, APIs REST/JSON, SQL, Git e inglês técnico; a média salarial mostrada pela plataforma é estimativa de mercado de R$4.000, não oferta oficial.</x:v>
      </x:c>
      <x:c r="K150" s="63" t="str">
        <x:v>Sim — protocolo Jobbol DX0634400 30/09</x:v>
      </x:c>
      <x:c r="L150" t="n">
        <x:f>IF(LEFT(K150,3)="Sim",1,0)+IF(LEFT(K150,6)="Portal",1,0)</x:f>
        <x:v>1</x:v>
      </x:c>
      <x:c r="M150" t="n">
        <x:f>IF(LEFT(A150,8)="Pendente",1,0)</x:f>
        <x:v>0</x:v>
      </x:c>
    </x:row>
    <x:row r="151" ht="86" customHeight="1">
      <x:c r="A151" s="32" t="str">
        <x:v>Enviada</x:v>
      </x:c>
      <x:c r="B151" s="63" t="str">
        <x:v>Kriativa (via Jobbol)</x:v>
      </x:c>
      <x:c r="C151" s="63" t="str">
        <x:v>Desenvolvedor Júnior de Automação</x:v>
      </x:c>
      <x:c r="D151" s="63" t="str">
        <x:v>Desenvolvimento e automação</x:v>
      </x:c>
      <x:c r="E151" s="63" t="str">
        <x:v>Rio de Janeiro/RJ</x:v>
      </x:c>
      <x:c r="F151" s="63" t="str">
        <x:v>https://www.jobbol.com.br/vaga/29386784263</x:v>
      </x:c>
      <x:c r="G151" s="63" t="str">
        <x:v>Sem audiovisual declarado</x:v>
      </x:c>
      <x:c r="H151" s="63" t="str">
        <x:v>Acompanhar e-mail e portal; validar formato de qualquer nova etapa antes de iniciar</x:v>
      </x:c>
      <x:c r="I151" s="63" t="str">
        <x:v>30/09/2026</x:v>
      </x:c>
      <x:c r="J151" s="63" t="str">
        <x:v>Candidatura enviada via Jobbol para vaga com salário oficial de R$3.000. O portal exibiu 'Candidatura registrada com sucesso!' e protocolo CW1953700. Foram usados apenas dados factuais e currículo técnico; não há teste, áudio ou vídeo iniciado.</x:v>
      </x:c>
      <x:c r="K151" s="63" t="str">
        <x:v>Sim — protocolo Jobbol CW1953700 30/09</x:v>
      </x:c>
      <x:c r="L151" t="n">
        <x:f>IF(LEFT(K151,3)="Sim",1,0)+IF(LEFT(K151,6)="Portal",1,0)</x:f>
        <x:v>1</x:v>
      </x:c>
      <x:c r="M151" t="n">
        <x:f>IF(LEFT(A151,8)="Pendente",1,0)</x:f>
        <x:v>0</x:v>
      </x:c>
    </x:row>
    <x:row r="152" ht="86" customHeight="1">
      <x:c r="A152" s="63" t="str">
        <x:v>Pendente — reCAPTCHA</x:v>
      </x:c>
      <x:c r="B152" s="63" t="str">
        <x:v>UP Brasil</x:v>
      </x:c>
      <x:c r="C152" s="63" t="str">
        <x:v>Analista de Sistemas Jr</x:v>
      </x:c>
      <x:c r="D152" s="63" t="str">
        <x:v>Desenvolvimento</x:v>
      </x:c>
      <x:c r="E152" s="63" t="str">
        <x:v>Uberlândia/MG, híbrido</x:v>
      </x:c>
      <x:c r="F152" s="63" t="str">
        <x:v>https://br.indeed.com/viewjob?jk=a1cb53693f8fb606</x:v>
      </x:c>
      <x:c r="G152" s="63" t="str">
        <x:v>Sem audiovisual declarado</x:v>
      </x:c>
      <x:c r="H152" s="63" t="str">
        <x:v>Abrir em Minhas Vagas no Indeed, concluir a verificação normal e enviar pessoalmente</x:v>
      </x:c>
      <x:c r="I152" s="63" t="str">
        <x:v>30/09/2026</x:v>
      </x:c>
      <x:c r="J152" s="63" t="str">
        <x:v>Candidatura personalizada chegou a 100% no Indeed e foi salva. A descrição é aderente a React, TypeScript, APIs REST, SQL e Docker. O envio final exigiu reCAPTCHA normal, que não foi contornado. Salário não divulgado no anúncio revisado.</x:v>
      </x:c>
      <x:c r="K152" s="63" t="str">
        <x:v>Não — rascunho 100% no Indeed</x:v>
      </x:c>
      <x:c r="L152" t="n">
        <x:f>IF(LEFT(K152,3)="Sim",1,0)+IF(LEFT(K152,6)="Portal",1,0)</x:f>
        <x:v>0</x:v>
      </x:c>
      <x:c r="M152" t="n">
        <x:f>IF(LEFT(A152,8)="Pendente",1,0)</x:f>
        <x:v>1</x:v>
      </x:c>
    </x:row>
    <x:row r="153" ht="86" customHeight="1">
      <x:c r="A153" s="63" t="str">
        <x:v>Pendente — falha de formulário</x:v>
      </x:c>
      <x:c r="B153" s="63" t="str">
        <x:v>Housi</x:v>
      </x:c>
      <x:c r="C153" s="63" t="str">
        <x:v>Analista de Dados Júnior</x:v>
      </x:c>
      <x:c r="D153" s="63" t="str">
        <x:v>Dados e IA</x:v>
      </x:c>
      <x:c r="E153" s="63" t="str">
        <x:v>São Paulo/SP; modelo não confirmado</x:v>
      </x:c>
      <x:c r="F153" s="63" t="str">
        <x:v>https://br.indeed.com/viewjob?jk=08a3368a8eed4671</x:v>
      </x:c>
      <x:c r="G153" s="63" t="str">
        <x:v>Sem audiovisual declarado</x:v>
      </x:c>
      <x:c r="H153" s="63" t="str">
        <x:v>Retomar por Minhas Vagas no Indeed; revisar seleção de currículo e concluir se a tela carregar</x:v>
      </x:c>
      <x:c r="I153" s="63" t="str">
        <x:v>30/09/2026</x:v>
      </x:c>
      <x:c r="J153" s="63" t="str">
        <x:v>Vaga aderente a Python, SQL, análise de dados e GCP. O formulário do Indeed permaneceu carregando na etapa de currículo, mesmo após uma recarga, e o rascunho foi salvo a 38%. Não houve candidatura enviada nem dado inventado. Salário não divulgado.</x:v>
      </x:c>
      <x:c r="K153" s="63" t="str">
        <x:v>Não — rascunho 38% no Indeed</x:v>
      </x:c>
      <x:c r="L153" t="n">
        <x:f>IF(LEFT(K153,3)="Sim",1,0)+IF(LEFT(K153,6)="Portal",1,0)</x:f>
        <x:v>0</x:v>
      </x:c>
      <x:c r="M153" t="n">
        <x:f>IF(LEFT(A153,8)="Pendente",1,0)</x:f>
        <x:v>1</x:v>
      </x:c>
    </x:row>
    <x:row r="154" ht="86" customHeight="1">
      <x:c r="A154" s="63" t="str">
        <x:v>Pendente — Profiler comportamental</x:v>
      </x:c>
      <x:c r="B154" s="63" t="str">
        <x:v>Planeta do Bebê</x:v>
      </x:c>
      <x:c r="C154" s="63" t="str">
        <x:v>Desenvolvedor(a) Júnior Python &amp; Frontend</x:v>
      </x:c>
      <x:c r="D154" s="63" t="str">
        <x:v>Desenvolvimento</x:v>
      </x:c>
      <x:c r="E154" s="63" t="str">
        <x:v>Cotia/SP</x:v>
      </x:c>
      <x:c r="F154" s="63" t="str">
        <x:v>https://planetadobebe.vagas.solides.com.br/vaga/922451?origem=indeed</x:v>
      </x:c>
      <x:c r="G154" s="63" t="str">
        <x:v>Profiler comportamental obrigatório; vídeo não iniciado</x:v>
      </x:c>
      <x:c r="H154" s="63" t="str">
        <x:v>Concluir o Profiler pessoalmente e retornar à Sólides para efetuar a candidatura</x:v>
      </x:c>
      <x:c r="I154" s="63" t="str">
        <x:v>30/09/2026</x:v>
      </x:c>
      <x:c r="J154" s="63" t="str">
        <x:v>Perfil Sólides foi revisado e salvo com dados existentes. A plataforma exigiu o Profiler antes do envio; ele não foi iniciado nem respondido. A vaga tem alta aderência em Python, JavaScript/TypeScript, APIs, SQL, Git, Docker e testes. Salário não divulgado.</x:v>
      </x:c>
      <x:c r="K154" s="63" t="str">
        <x:v>Não — perfil salvo, candidatura não confirmada</x:v>
      </x:c>
      <x:c r="L154" t="n">
        <x:f>IF(LEFT(K154,3)="Sim",1,0)+IF(LEFT(K154,6)="Portal",1,0)</x:f>
        <x:v>0</x:v>
      </x:c>
      <x:c r="M154" t="n">
        <x:f>IF(LEFT(A154,8)="Pendente",1,0)</x:f>
        <x:v>1</x:v>
      </x:c>
    </x:row>
    <x:row r="155" ht="86" customHeight="1">
      <x:c r="A155" s="63" t="str">
        <x:v>Encerrada — vaga expirada</x:v>
      </x:c>
      <x:c r="B155" s="63" t="str">
        <x:v>Partner Soluções Empresariais</x:v>
      </x:c>
      <x:c r="C155" s="63" t="str">
        <x:v>Desenvolvedor de Sistemas Júnior</x:v>
      </x:c>
      <x:c r="D155" s="63" t="str">
        <x:v>Desenvolvimento</x:v>
      </x:c>
      <x:c r="E155" s="63" t="str">
        <x:v>Belo Horizonte/MG</x:v>
      </x:c>
      <x:c r="F155" s="63" t="str">
        <x:v>https://br.indeed.com/viewjob?jk=d27699dec8cafae4</x:v>
      </x:c>
      <x:c r="G155" s="63" t="str">
        <x:v>Não aplicável — anúncio expirado</x:v>
      </x:c>
      <x:c r="H155" s="63" t="str">
        <x:v>Não candidatar; monitorar repostagem equivalente</x:v>
      </x:c>
      <x:c r="I155" s="63" t="str">
        <x:v>30/09/2026</x:v>
      </x:c>
      <x:c r="J155" s="63" t="str">
        <x:v>Anúncio com faixa publicada de R$3.000–5.000 foi aberto no ciclo atual, mas o Indeed confirmou que a vaga expirou antes de qualquer candidatura. Registro mantido para evitar nova tentativa e duplicidade.</x:v>
      </x:c>
      <x:c r="K155" s="63" t="str">
        <x:v>Não aplicável — vaga expirada</x:v>
      </x:c>
      <x:c r="L155" t="n">
        <x:f>IF(LEFT(K155,3)="Sim",1,0)+IF(LEFT(K155,6)="Portal",1,0)</x:f>
        <x:v>0</x:v>
      </x:c>
      <x:c r="M155" t="n">
        <x:f>IF(LEFT(A155,8)="Pendente",1,0)</x:f>
        <x:v>0</x:v>
      </x:c>
    </x:row>
    <x:row r="156" ht="86" customHeight="1">
      <x:c r="A156" s="63" t="str">
        <x:v>Pendente — candidatura a iniciar</x:v>
      </x:c>
      <x:c r="B156" s="63" t="str">
        <x:v>Juriscont</x:v>
      </x:c>
      <x:c r="C156" s="63" t="str">
        <x:v>Desenvolvedor Full Stack</x:v>
      </x:c>
      <x:c r="D156" s="63" t="str">
        <x:v>Desenvolvimento</x:v>
      </x:c>
      <x:c r="E156" s="63" t="str">
        <x:v>São Paulo/SP, presencial (Berrini)</x:v>
      </x:c>
      <x:c r="F156" s="63" t="str">
        <x:v>https://br.indeed.com/viewjob?jk=ef8b72cc9c69fb77</x:v>
      </x:c>
      <x:c r="G156" s="63" t="str">
        <x:v>Sem audiovisual declarado no anúncio</x:v>
      </x:c>
      <x:c r="H156" s="63" t="str">
        <x:v>Revalidar o anúncio, personalizar com React/Node/APIs/SQL/Git e iniciar pelo Indeed</x:v>
      </x:c>
      <x:c r="I156" s="63" t="str">
        <x:v>30/09/2026</x:v>
      </x:c>
      <x:c r="J156" s="63" t="str">
        <x:v>Vaga ativa no levantamento, com faixa oficial de R$4.000–5.500. Boa aderência a React, Node, APIs REST, SQL e Git. Nenhum formulário foi iniciado nesta sessão porque a conexão do navegador caiu; revalidar antes de enviar.</x:v>
      </x:c>
      <x:c r="K156" s="63" t="str">
        <x:v>Não — candidatura ainda não iniciada</x:v>
      </x:c>
      <x:c r="L156" t="n">
        <x:f>IF(LEFT(K156,3)="Sim",1,0)+IF(LEFT(K156,6)="Portal",1,0)</x:f>
        <x:v>0</x:v>
      </x:c>
      <x:c r="M156" t="n">
        <x:f>IF(LEFT(A156,8)="Pendente",1,0)</x:f>
        <x:v>1</x:v>
      </x:c>
    </x:row>
    <x:row r="157" ht="86" customHeight="1">
      <x:c r="A157" s="63" t="str">
        <x:v>Pendente — candidatura a iniciar</x:v>
      </x:c>
      <x:c r="B157" s="63" t="str">
        <x:v>RH Sales Center</x:v>
      </x:c>
      <x:c r="C157" s="63" t="str">
        <x:v>Engenheiro de Automação e Integração com IA</x:v>
      </x:c>
      <x:c r="D157" s="63" t="str">
        <x:v>Automação, integrações e IA</x:v>
      </x:c>
      <x:c r="E157" s="63" t="str">
        <x:v>São Paulo/SP</x:v>
      </x:c>
      <x:c r="F157" s="63" t="str">
        <x:v>https://br.indeed.com/viewjob?jk=17b24a1cb5262487</x:v>
      </x:c>
      <x:c r="G157" s="63" t="str">
        <x:v>Sem audiovisual declarado no anúncio</x:v>
      </x:c>
      <x:c r="H157" s="63" t="str">
        <x:v>Revalidar o anúncio, personalizar com APIs, webhooks, PostgreSQL, Docker e IA aplicada</x:v>
      </x:c>
      <x:c r="I157" s="63" t="str">
        <x:v>30/09/2026</x:v>
      </x:c>
      <x:c r="J157" s="63" t="str">
        <x:v>Vaga ativa no levantamento com salário oficial de R$5.500. Boa aderência a APIs REST, webhooks, PostgreSQL, MongoDB, filas, Docker, integração de LLMs e RAG em projetos. Nenhum formulário iniciado nesta sessão; revalidar a condição da vaga antes de enviar.</x:v>
      </x:c>
      <x:c r="K157" s="63" t="str">
        <x:v>Não — candidatura ainda não iniciada</x:v>
      </x:c>
      <x:c r="L157" t="n">
        <x:f>IF(LEFT(K157,3)="Sim",1,0)+IF(LEFT(K157,6)="Portal",1,0)</x:f>
        <x:v>0</x:v>
      </x:c>
      <x:c r="M157" t="n">
        <x:f>IF(LEFT(A157,8)="Pendente",1,0)</x:f>
        <x:v>1</x:v>
      </x:c>
    </x:row>
    <x:row r="158" ht="86" customHeight="1">
      <x:c r="A158" s="63" t="str">
        <x:v>Pendente — candidatura a iniciar</x:v>
      </x:c>
      <x:c r="B158" s="63" t="str">
        <x:v>ASC Brazil</x:v>
      </x:c>
      <x:c r="C158" s="63" t="str">
        <x:v>Assistente Desenvolvedor de IA</x:v>
      </x:c>
      <x:c r="D158" s="63" t="str">
        <x:v>Dados e IA</x:v>
      </x:c>
      <x:c r="E158" s="63" t="str">
        <x:v>Uberlândia/MG, híbrido; CLT</x:v>
      </x:c>
      <x:c r="F158" s="63" t="str">
        <x:v>https://br.indeed.com/viewjob?jk=84b7681a2e8fb5c0</x:v>
      </x:c>
      <x:c r="G158" s="63" t="str">
        <x:v>Sem audiovisual declarado no anúncio</x:v>
      </x:c>
      <x:c r="H158" s="63" t="str">
        <x:v>Revalidar o anúncio, personalizar com LLM APIs, Node, PostgreSQL, Git e IA aplicada</x:v>
      </x:c>
      <x:c r="I158" s="63" t="str">
        <x:v>30/09/2026</x:v>
      </x:c>
      <x:c r="J158" s="63" t="str">
        <x:v>Vaga ativa no levantamento com salário oficial de R$3.500–3.575. Aderência em APIs de LLM, Node de projetos, PostgreSQL, Git e integração de IA. LangChain, LlamaIndex, RAG e bancos vetoriais são temas de estudo, sem alegar experiência consolidada.</x:v>
      </x:c>
      <x:c r="K158" s="63" t="str">
        <x:v>Não — candidatura ainda não iniciada</x:v>
      </x:c>
      <x:c r="L158" t="n">
        <x:f>IF(LEFT(K158,3)="Sim",1,0)+IF(LEFT(K158,6)="Portal",1,0)</x:f>
        <x:v>0</x:v>
      </x:c>
      <x:c r="M158" t="n">
        <x:f>IF(LEFT(A158,8)="Pendente",1,0)</x:f>
        <x:v>1</x:v>
      </x:c>
    </x:row>
    <x:row r="159" ht="86" customHeight="1">
      <x:c r="A159" s="63" t="str">
        <x:v>Pendente — candidatura a iniciar</x:v>
      </x:c>
      <x:c r="B159" s="63" t="str">
        <x:v>IB Comércio e Indústria</x:v>
      </x:c>
      <x:c r="C159" s="63" t="str">
        <x:v>Analista Júnior de Dados e BI</x:v>
      </x:c>
      <x:c r="D159" s="63" t="str">
        <x:v>Dados e IA</x:v>
      </x:c>
      <x:c r="E159" s="63" t="str">
        <x:v>Rio de Janeiro/RJ, presencial; CLT</x:v>
      </x:c>
      <x:c r="F159" s="63" t="str">
        <x:v>https://br.indeed.com/viewjob?jk=db72337e74b7a47f</x:v>
      </x:c>
      <x:c r="G159" s="63" t="str">
        <x:v>Sem audiovisual declarado no anúncio</x:v>
      </x:c>
      <x:c r="H159" s="63" t="str">
        <x:v>Revalidar o anúncio, personalizar com Python, SQL, Excel e automação de dados</x:v>
      </x:c>
      <x:c r="I159" s="63" t="str">
        <x:v>30/09/2026</x:v>
      </x:c>
      <x:c r="J159" s="63" t="str">
        <x:v>Vaga ativa no levantamento com salário oficial de R$3.500–4.000 e graduação em andamento aceita. Boa aderência em Python, SQL, Excel e automação de dados. Power BI, n8n, Airflow e Streamlit devem ser apresentados como aprofundamento quando solicitados.</x:v>
      </x:c>
      <x:c r="K159" s="63" t="str">
        <x:v>Não — candidatura ainda não iniciada</x:v>
      </x:c>
      <x:c r="L159" t="n">
        <x:f>IF(LEFT(K159,3)="Sim",1,0)+IF(LEFT(K159,6)="Portal",1,0)</x:f>
        <x:v>0</x:v>
      </x:c>
      <x:c r="M159" t="n">
        <x:f>IF(LEFT(A159,8)="Pendente",1,0)</x:f>
        <x:v>1</x:v>
      </x:c>
    </x:row>
    <x:row r="160" ht="86" customHeight="1">
      <x:c r="A160" s="63" t="str">
        <x:v>Pendente — candidatura a iniciar</x:v>
      </x:c>
      <x:c r="B160" s="63" t="str">
        <x:v>Partners Comunicação</x:v>
      </x:c>
      <x:c r="C160" s="63" t="str">
        <x:v>Desenvolvedor Full Stack</x:v>
      </x:c>
      <x:c r="D160" s="63" t="str">
        <x:v>Desenvolvimento e IA</x:v>
      </x:c>
      <x:c r="E160" s="63" t="str">
        <x:v>Belo Horizonte/MG, híbrido; PJ</x:v>
      </x:c>
      <x:c r="F160" s="63" t="str">
        <x:v>https://br.indeed.com/viewjob?jk=120afa593ebe364a</x:v>
      </x:c>
      <x:c r="G160" s="63" t="str">
        <x:v>Sem audiovisual declarado no anúncio</x:v>
      </x:c>
      <x:c r="H160" s="63" t="str">
        <x:v>Revalidar o anúncio, personalizar com APIs, PostgreSQL, Git, Docker e IA aplicada</x:v>
      </x:c>
      <x:c r="I160" s="63" t="str">
        <x:v>30/09/2026</x:v>
      </x:c>
      <x:c r="J160" s="63" t="str">
        <x:v>Vaga ativa no levantamento com faixa oficial de R$4.000 PJ. Boa aderência a desenvolvimento full stack, APIs, PostgreSQL, Git, Docker e integração de IA. Nenhuma candidatura iniciou porque a conexão do Firefox com o Indeed caiu; revalidar antes de enviar.</x:v>
      </x:c>
      <x:c r="K160" s="63" t="str">
        <x:v>Não — candidatura ainda não iniciada</x:v>
      </x:c>
      <x:c r="L160" t="n">
        <x:f>IF(LEFT(K160,3)="Sim",1,0)+IF(LEFT(K160,6)="Portal",1,0)</x:f>
        <x:v>0</x:v>
      </x:c>
      <x:c r="M160" t="n">
        <x:f>IF(LEFT(A160,8)="Pendente",1,0)</x:f>
        <x:v>1</x:v>
      </x:c>
    </x:row>
    <x:row r="161" ht="52.79999923706055" hidden="0" customHeight="1">
      <x:c r="A161" s="32" t="str">
        <x:v>Enviada</x:v>
      </x:c>
      <x:c r="B161" s="63" t="str">
        <x:v>Empresa Confidencial</x:v>
      </x:c>
      <x:c r="C161" s="63" t="str">
        <x:v>Desenvolvedor(a) .NET Backend</x:v>
      </x:c>
      <x:c r="D161" s="63" t="str">
        <x:v>Desenvolvimento backend</x:v>
      </x:c>
      <x:c r="E161" s="63" t="str">
        <x:v>São Paulo/SP; PJ; remuneração a combinar</x:v>
      </x:c>
      <x:c r="F161" s="63" t="str">
        <x:v>https://www.catho.com.br/vagas/desenvolvedora-.net-backend/38631621</x:v>
      </x:c>
      <x:c r="G161" s="63" t="str">
        <x:v>Não informado; validar qualquer nova etapa antes de iniciar</x:v>
      </x:c>
      <x:c r="H161" s="63" t="str">
        <x:v>Acompanhar e-mail e portal. Se houver contato, atualizar respostas sobre experiência profissional full stack conforme currículo atual.</x:v>
      </x:c>
      <x:c r="I161" s="63" t="str">
        <x:v>02/10/2026</x:v>
      </x:c>
      <x:c r="J161" s="63" t="str">
        <x:v>Candidatura confirmada no portal Catho com a mensagem ‘CV enviado!’. Formulário anterior trouxe respostas que precisam refletir o histórico profissional atualizado caso o recrutador retome o contato.</x:v>
      </x:c>
      <x:c r="K161" s="63" t="str">
        <x:v>Portal — CV enviado 02/10</x:v>
      </x:c>
      <x:c r="L161" t="n">
        <x:f>IF(LEFT(K161,3)="Sim",1,0)+IF(LEFT(K161,6)="Portal",1,0)</x:f>
        <x:v>1</x:v>
      </x:c>
      <x:c r="M161" t="n">
        <x:f>IF(LEFT(A161,8)="Pendente",1,0)</x:f>
        <x:v>0</x:v>
      </x:c>
    </x:row>
    <x:row r="162" ht="39.599998474121094" hidden="0" customHeight="1">
      <x:c r="A162" s="63" t="str">
        <x:v>Enviada</x:v>
      </x:c>
      <x:c r="B162" s="63" t="str">
        <x:v>UNIFISA</x:v>
      </x:c>
      <x:c r="C162" s="63" t="str">
        <x:v>Desenvolvedor(a) CRM Jr - Automação e Integrações</x:v>
      </x:c>
      <x:c r="D162" s="63" t="str">
        <x:v>Automação e integrações</x:v>
      </x:c>
      <x:c r="E162" s="63" t="str">
        <x:v>São Paulo/SP; CLT; remuneração não divulgada</x:v>
      </x:c>
      <x:c r="F162" s="63" t="str">
        <x:v>https://www.catho.com.br/vagas/desenvolvedora-crm-jr-automacao-e-integracoes-marketing/38627517</x:v>
      </x:c>
      <x:c r="G162" s="63" t="str">
        <x:v>Não informado; validar qualquer nova etapa antes de iniciar</x:v>
      </x:c>
      <x:c r="H162" s="63" t="str">
        <x:v>Acompanhar e-mail e portal; preparar exemplos reais de APIs, webhooks, PHP/Python e automação.</x:v>
      </x:c>
      <x:c r="I162" s="63" t="str">
        <x:v>02/10/2026</x:v>
      </x:c>
      <x:c r="J162" s="63" t="str">
        <x:v>Candidatura confirmada no portal Catho com a mensagem ‘CV enviado!’. Aderência em automação, APIs, webhooks e integração entre sistemas.</x:v>
      </x:c>
      <x:c r="K162" s="63" t="str">
        <x:v>Portal — CV enviado 02/10</x:v>
      </x:c>
      <x:c r="L162" t="n">
        <x:f>IF(LEFT(K162,3)="Sim",1,0)+IF(LEFT(K162,6)="Portal",1,0)</x:f>
        <x:v>1</x:v>
      </x:c>
      <x:c r="M162" t="n">
        <x:f>IF(LEFT(A162,8)="Pendente",1,0)</x:f>
        <x:v>0</x:v>
      </x:c>
    </x:row>
    <x:row r="163" ht="39.599998474121094" hidden="0" customHeight="1">
      <x:c r="A163" s="63" t="str">
        <x:v>Enviada</x:v>
      </x:c>
      <x:c r="B163" s="63" t="str">
        <x:v>Empresa Confidencial</x:v>
      </x:c>
      <x:c r="C163" s="63" t="str">
        <x:v>Desenvolvedor(a) Front-End - Vue.js</x:v>
      </x:c>
      <x:c r="D163" s="63" t="str">
        <x:v>Desenvolvimento frontend</x:v>
      </x:c>
      <x:c r="E163" s="63" t="str">
        <x:v>São Paulo/SP; remoto; PJ; remuneração não divulgada</x:v>
      </x:c>
      <x:c r="F163" s="63" t="str">
        <x:v>https://www.infojobs.com.br/vaga-de-desenvolvedora-front-end-vuejs-em-sao-paulo__12069792.aspx</x:v>
      </x:c>
      <x:c r="G163" s="63" t="str">
        <x:v>Não informado; validar qualquer nova etapa antes de iniciar</x:v>
      </x:c>
      <x:c r="H163" s="63" t="str">
        <x:v>Acompanhar e-mail e portal; reforçar React/TypeScript e experiência de frontend em conversa posterior.</x:v>
      </x:c>
      <x:c r="I163" s="63" t="str">
        <x:v>02/10/2026</x:v>
      </x:c>
      <x:c r="J163" s="63" t="str">
        <x:v>Candidatura confirmada no InfoJobs com carta de apresentação anexada. Vue.js foi tratado com precisão, sem alegar experiência profissional específica não comprovada.</x:v>
      </x:c>
      <x:c r="K163" s="63" t="str">
        <x:v>Portal — candidatura confirmada 02/10</x:v>
      </x:c>
      <x:c r="L163" t="n">
        <x:f>IF(LEFT(K163,3)="Sim",1,0)+IF(LEFT(K163,6)="Portal",1,0)</x:f>
        <x:v>1</x:v>
      </x:c>
      <x:c r="M163" t="n">
        <x:f>IF(LEFT(A163,8)="Pendente",1,0)</x:f>
        <x:v>0</x:v>
      </x:c>
    </x:row>
    <x:row r="164" ht="39.599998474121094" hidden="0" customHeight="1">
      <x:c r="A164" s="63" t="str">
        <x:v>Enviada</x:v>
      </x:c>
      <x:c r="B164" s="63" t="str">
        <x:v>Funcional Recursos Humanos</x:v>
      </x:c>
      <x:c r="C164" s="63" t="str">
        <x:v>Desenvolvedor TI</x:v>
      </x:c>
      <x:c r="D164" s="63" t="str">
        <x:v>Desenvolvimento e integrações</x:v>
      </x:c>
      <x:c r="E164" s="63" t="str">
        <x:v>São Paulo/SP; CLT presencial; salário divulgado R$ 7.000</x:v>
      </x:c>
      <x:c r="F164" s="63" t="str">
        <x:v>https://www.infojobs.com.br/vaga-de-desenvolvedor-ti-em-sao-paulo__12065974.aspx</x:v>
      </x:c>
      <x:c r="G164" s="63" t="str">
        <x:v>Não informado; validar qualquer nova etapa antes de iniciar</x:v>
      </x:c>
      <x:c r="H164" s="63" t="str">
        <x:v>Acompanhar e-mail e portal; preparar exemplos de desenvolvimento, SQL, Git/GitHub e integrações.</x:v>
      </x:c>
      <x:c r="I164" s="63" t="str">
        <x:v>02/10/2026</x:v>
      </x:c>
      <x:c r="J164" s="63" t="str">
        <x:v>Candidatura confirmada no InfoJobs com carta de apresentação anexada. Faixa salarial oficial divulgada: R$ 7.000/mês.</x:v>
      </x:c>
      <x:c r="K164" s="63" t="str">
        <x:v>Portal — candidatura confirmada 02/10</x:v>
      </x:c>
      <x:c r="L164" t="n">
        <x:f>IF(LEFT(K164,3)="Sim",1,0)+IF(LEFT(K164,6)="Portal",1,0)</x:f>
        <x:v>1</x:v>
      </x:c>
      <x:c r="M164" t="n">
        <x:f>IF(LEFT(A164,8)="Pendente",1,0)</x:f>
        <x:v>0</x:v>
      </x:c>
    </x:row>
    <x:row r="165" ht="39.599998474121094" hidden="0" customHeight="1">
      <x:c r="A165" s="63" t="str">
        <x:v>Enviada</x:v>
      </x:c>
      <x:c r="B165" s="63" t="str">
        <x:v>Empresarial Valestra Negócios e Investimentos</x:v>
      </x:c>
      <x:c r="C165" s="63" t="str">
        <x:v>Analista de BI Júnior</x:v>
      </x:c>
      <x:c r="D165" s="63" t="str">
        <x:v>Dados e BI</x:v>
      </x:c>
      <x:c r="E165" s="63" t="str">
        <x:v>São Paulo/SP; presencial; remuneração a combinar</x:v>
      </x:c>
      <x:c r="F165" s="63" t="str">
        <x:v>https://www.infojobs.com.br/vaga-de-analista-bi-junior-em-sao-paulo__12036637.aspx</x:v>
      </x:c>
      <x:c r="G165" s="63" t="str">
        <x:v>Não informado; validar qualquer nova etapa antes de iniciar</x:v>
      </x:c>
      <x:c r="H165" s="63" t="str">
        <x:v>Acompanhar e-mail e portal; preparar exemplos de SQL, Excel, dados e automação, sem apresentar BI corporativo como experiência formal.</x:v>
      </x:c>
      <x:c r="I165" s="63" t="str">
        <x:v>02/10/2026</x:v>
      </x:c>
      <x:c r="J165" s="63" t="str">
        <x:v>Candidatura confirmada no InfoJobs com carta de apresentação anexada. Formação superior foi declarada em andamento, conforme a realidade.</x:v>
      </x:c>
      <x:c r="K165" s="63" t="str">
        <x:v>Portal — candidatura confirmada 02/10</x:v>
      </x:c>
      <x:c r="L165" t="n">
        <x:f>IF(LEFT(K165,3)="Sim",1,0)+IF(LEFT(K165,6)="Portal",1,0)</x:f>
        <x:v>1</x:v>
      </x:c>
      <x:c r="M165" t="n">
        <x:f>IF(LEFT(A165,8)="Pendente",1,0)</x:f>
        <x:v>0</x:v>
      </x:c>
    </x:row>
    <x:row r="166" ht="39.599998474121094" hidden="0" customHeight="1">
      <x:c r="A166" s="63" t="str">
        <x:v>Enviada</x:v>
      </x:c>
      <x:c r="B166" s="63" t="str">
        <x:v>Kalunga</x:v>
      </x:c>
      <x:c r="C166" s="63" t="str">
        <x:v>Analista de Sistemas Backend</x:v>
      </x:c>
      <x:c r="D166" s="63" t="str">
        <x:v>Desenvolvimento backend</x:v>
      </x:c>
      <x:c r="E166" s="63" t="str">
        <x:v>São Paulo/SP; CLT presencial; remuneração não divulgada</x:v>
      </x:c>
      <x:c r="F166" s="63" t="str">
        <x:v>https://www.infojobs.com.br/vaga-de-analista-sistemas-backend-em-sao-paulo__12069489.aspx</x:v>
      </x:c>
      <x:c r="G166" s="63" t="str">
        <x:v>Não informado; validar qualquer nova etapa antes de iniciar</x:v>
      </x:c>
      <x:c r="H166" s="63" t="str">
        <x:v>Acompanhar e-mail e portal; preparar exemplos de C#/.NET, APIs REST, PostgreSQL/SQL, Git e testes.</x:v>
      </x:c>
      <x:c r="I166" s="63" t="str">
        <x:v>02/10/2026</x:v>
      </x:c>
      <x:c r="J166" s="63" t="str">
        <x:v>Candidatura confirmada no InfoJobs com carta de apresentação anexada. Boa aderência a C#/.NET, APIs e backend; SQL Server/EF/Dapper são pontos de estudo.</x:v>
      </x:c>
      <x:c r="K166" s="63" t="str">
        <x:v>Portal — candidatura confirmada 02/10</x:v>
      </x:c>
      <x:c r="L166" t="n">
        <x:f>IF(LEFT(K166,3)="Sim",1,0)+IF(LEFT(K166,6)="Portal",1,0)</x:f>
        <x:v>1</x:v>
      </x:c>
      <x:c r="M166" t="n">
        <x:f>IF(LEFT(A166,8)="Pendente",1,0)</x:f>
        <x:v>0</x:v>
      </x:c>
    </x:row>
    <x:row r="167" ht="52.79999923706055" hidden="0" customHeight="1">
      <x:c r="A167" s="63" t="str">
        <x:v>Enviada</x:v>
      </x:c>
      <x:c r="B167" s="63" t="str">
        <x:v>Empresa Confidencial</x:v>
      </x:c>
      <x:c r="C167" s="63" t="str">
        <x:v>Analista de Dados e BI Jr</x:v>
      </x:c>
      <x:c r="D167" s="63" t="str">
        <x:v>Dados e BI</x:v>
      </x:c>
      <x:c r="E167" s="63" t="str">
        <x:v>Barueri/SP; remoto; CLT/PJ; salário divulgado R$ 3.000 a R$ 3.500</x:v>
      </x:c>
      <x:c r="F167" s="63" t="str">
        <x:v>https://www.infojobs.com.br/vaga-de-analista-dados-bi-jr-em-sao-paulo__11941704.aspx</x:v>
      </x:c>
      <x:c r="G167" s="63" t="str">
        <x:v>Não informado; validar qualquer nova etapa antes de iniciar</x:v>
      </x:c>
      <x:c r="H167" s="63" t="str">
        <x:v>Acompanhar e-mail e portal; manter foco em SQL, Excel, Python, PostgreSQL e automação de dados.</x:v>
      </x:c>
      <x:c r="I167" s="63" t="str">
        <x:v>02/10/2026</x:v>
      </x:c>
      <x:c r="J167" s="63" t="str">
        <x:v>Candidatura confirmada no InfoJobs com carta de apresentação anexada. Autoavaliação de experiência formal em Data/BI permaneceu factual; salário solicitado: R$ 3.500, negociável.</x:v>
      </x:c>
      <x:c r="K167" s="63" t="str">
        <x:v>Portal — candidatura confirmada 02/10</x:v>
      </x:c>
      <x:c r="L167" t="n">
        <x:f>IF(LEFT(K167,3)="Sim",1,0)+IF(LEFT(K167,6)="Portal",1,0)</x:f>
        <x:v>1</x:v>
      </x:c>
      <x:c r="M167" t="n">
        <x:f>IF(LEFT(A167,8)="Pendente",1,0)</x:f>
        <x:v>0</x:v>
      </x:c>
    </x:row>
    <x:row r="168" ht="66" hidden="0" customHeight="1">
      <x:c r="A168" s="63" t="str">
        <x:v>Enviada — revisar resposta se houver contato</x:v>
      </x:c>
      <x:c r="B168" s="63" t="str">
        <x:v>Luft Logistics / Luft Agro</x:v>
      </x:c>
      <x:c r="C168" s="63" t="str">
        <x:v>Desenvolvedor Full Stack</x:v>
      </x:c>
      <x:c r="D168" s="63" t="str">
        <x:v>Desenvolvimento full stack</x:v>
      </x:c>
      <x:c r="E168" s="63" t="str">
        <x:v>Barueri/SP; CLT presencial; remuneração não divulgada</x:v>
      </x:c>
      <x:c r="F168" s="63" t="str">
        <x:v>https://www.infojobs.com.br/vaga-de-desenvolver-full-stack-em-sao-paulo__12036465.aspx</x:v>
      </x:c>
      <x:c r="G168" s="63" t="str">
        <x:v>Não informado; validar qualquer nova etapa antes de iniciar</x:v>
      </x:c>
      <x:c r="H168" s="63" t="str">
        <x:v>Acompanhar e-mail e portal. Se houver contato, corrigir a resposta anterior: há experiência profissional full stack na Performance Lab desde dez/2025 e atuação freelancer de software/automação via CNPJ.</x:v>
      </x:c>
      <x:c r="I168" s="63" t="str">
        <x:v>02/10/2026</x:v>
      </x:c>
      <x:c r="J168" s="63" t="str">
        <x:v>Candidatura confirmada no InfoJobs com carta de apresentação anexada. A resposta inicial sobre experiência profissional full stack/Node ficou desatualizada diante do currículo factual revisado; não reenviar nem duplicar a candidatura.</x:v>
      </x:c>
      <x:c r="K168" s="63" t="str">
        <x:v>Portal — candidatura confirmada 02/10</x:v>
      </x:c>
      <x:c r="L168" t="n">
        <x:f>IF(LEFT(K168,3)="Sim",1,0)+IF(LEFT(K168,6)="Portal",1,0)</x:f>
        <x:v>1</x:v>
      </x:c>
      <x:c r="M168" t="n">
        <x:f>IF(LEFT(A168,8)="Pendente",1,0)</x:f>
        <x:v>0</x:v>
      </x:c>
    </x:row>
    <x:row r="169" ht="39.599998474121094" hidden="0" customHeight="1">
      <x:c r="A169" s="63" t="str">
        <x:v>Enviada</x:v>
      </x:c>
      <x:c r="B169" s="63" t="str">
        <x:v>Novo Tempo RH</x:v>
      </x:c>
      <x:c r="C169" s="63" t="str">
        <x:v>Desenvolvedor Jr</x:v>
      </x:c>
      <x:c r="D169" s="63" t="str">
        <x:v>Desenvolvimento</x:v>
      </x:c>
      <x:c r="E169" s="63" t="str">
        <x:v>Poá/SP; temporário presencial; remuneração não divulgada</x:v>
      </x:c>
      <x:c r="F169" s="63" t="str">
        <x:v>https://www.infojobs.com.br/vaga-de-desenvolvedor-jr-em-sao-paulo__11971270.aspx</x:v>
      </x:c>
      <x:c r="G169" s="63" t="str">
        <x:v>Não informado; validar qualquer nova etapa antes de iniciar</x:v>
      </x:c>
      <x:c r="H169" s="63" t="str">
        <x:v>Acompanhar e-mail e portal; preparar exemplos de C#, JavaScript, SQL e Git; destaque que ADS está em andamento.</x:v>
      </x:c>
      <x:c r="I169" s="63" t="str">
        <x:v>02/10/2026</x:v>
      </x:c>
      <x:c r="J169" s="63" t="str">
        <x:v>Candidatura confirmada no InfoJobs com carta de apresentação anexada. A vaga aceita ADS em andamento e tem aderência técnica real.</x:v>
      </x:c>
      <x:c r="K169" s="63" t="str">
        <x:v>Portal — candidatura confirmada 02/10</x:v>
      </x:c>
      <x:c r="L169" t="n">
        <x:f>IF(LEFT(K169,3)="Sim",1,0)+IF(LEFT(K169,6)="Portal",1,0)</x:f>
        <x:v>1</x:v>
      </x:c>
      <x:c r="M169" t="n">
        <x:f>IF(LEFT(A169,8)="Pendente",1,0)</x:f>
        <x:v>0</x:v>
      </x:c>
    </x:row>
    <x:row r="170" ht="39.599998474121094" hidden="0" customHeight="1">
      <x:c r="A170" s="63" t="str">
        <x:v>Enviada</x:v>
      </x:c>
      <x:c r="B170" s="63" t="str">
        <x:v>Teledinâmica</x:v>
      </x:c>
      <x:c r="C170" s="63" t="str">
        <x:v>Desenvolvedor - Foco em Back-End</x:v>
      </x:c>
      <x:c r="D170" s="63" t="str">
        <x:v>Desenvolvimento backend</x:v>
      </x:c>
      <x:c r="E170" s="63" t="str">
        <x:v>São Paulo/SP; híbrido; PJ; remuneração não divulgada</x:v>
      </x:c>
      <x:c r="F170" s="63" t="str">
        <x:v>https://www.infojobs.com.br/vaga-de-desenvolvedor-foco-back-end-em-sao-paulo__11978071.aspx</x:v>
      </x:c>
      <x:c r="G170" s="63" t="str">
        <x:v>Não informado; validar qualquer nova etapa antes de iniciar</x:v>
      </x:c>
      <x:c r="H170" s="63" t="str">
        <x:v>Acompanhar e-mail e portal; preparar exemplos de Node/TypeScript, Python, PostgreSQL, APIs, webhooks, Docker e cloud.</x:v>
      </x:c>
      <x:c r="I170" s="63" t="str">
        <x:v>02/10/2026</x:v>
      </x:c>
      <x:c r="J170" s="63" t="str">
        <x:v>Candidatura confirmada no InfoJobs com carta de apresentação anexada. Boa aderência a backend, APIs, PostgreSQL, Docker e integração de sistemas.</x:v>
      </x:c>
      <x:c r="K170" s="63" t="str">
        <x:v>Portal — candidatura confirmada 02/10</x:v>
      </x:c>
      <x:c r="L170" t="n">
        <x:f>IF(LEFT(K170,3)="Sim",1,0)+IF(LEFT(K170,6)="Portal",1,0)</x:f>
        <x:v>1</x:v>
      </x:c>
      <x:c r="M170" t="n">
        <x:f>IF(LEFT(A170,8)="Pendente",1,0)</x:f>
        <x:v>0</x:v>
      </x:c>
    </x:row>
    <x:row r="171" ht="52.79999923706055" hidden="0" customHeight="1">
      <x:c r="A171" s="63" t="str">
        <x:v>Pendente — confirmação de localização</x:v>
      </x:c>
      <x:c r="B171" s="63" t="str">
        <x:v>Macam Brasil</x:v>
      </x:c>
      <x:c r="C171" s="63" t="str">
        <x:v>Desenvolvedor de Software - Armários Inteligentes</x:v>
      </x:c>
      <x:c r="D171" s="63" t="str">
        <x:v>Desenvolvimento de software</x:v>
      </x:c>
      <x:c r="E171" s="63" t="str">
        <x:v>São Paulo/SP; CLT; remuneração não divulgada</x:v>
      </x:c>
      <x:c r="F171" s="63" t="str">
        <x:v>https://www.infojobs.com.br/vaga-de-desenvolvedora-software-armarios-inteligentes-em-sao-paulo__12051243.aspx</x:v>
      </x:c>
      <x:c r="G171" s="63" t="str">
        <x:v>Não informado; validar qualquer nova etapa antes de iniciar</x:v>
      </x:c>
      <x:c r="H171" s="63" t="str">
        <x:v>Responder somente se confirmar a pergunta obrigatória sobre morar na região de Pirituba/Jaraguá.</x:v>
      </x:c>
      <x:c r="I171" s="63" t="str">
        <x:v>02/10/2026</x:v>
      </x:c>
      <x:c r="J171" s="63" t="str">
        <x:v>Formulário não enviado: a pergunta obrigatória sobre residir em Pirituba/Jaraguá não foi respondida porque a informação de endereço não foi confirmada. Nenhuma informação foi inventada.</x:v>
      </x:c>
      <x:c r="K171" s="63" t="str">
        <x:v>Não — pergunta obrigatória pendente</x:v>
      </x:c>
      <x:c r="L171" t="n">
        <x:f>IF(LEFT(K171,3)="Sim",1,0)+IF(LEFT(K171,6)="Portal",1,0)</x:f>
        <x:v>0</x:v>
      </x:c>
      <x:c r="M171" t="n">
        <x:f>IF(LEFT(A171,8)="Pendente",1,0)</x:f>
        <x:v>1</x:v>
      </x:c>
    </x:row>
    <x:row r="172" ht="52.79999923706055" hidden="0" customHeight="1">
      <x:c r="A172" s="63" t="str">
        <x:v>Pendente — revalidar e candidatar</x:v>
      </x:c>
      <x:c r="B172" s="63" t="str">
        <x:v>Lina Infratech</x:v>
      </x:c>
      <x:c r="C172" s="63" t="str">
        <x:v>Desenvolvedor(a) Backend Júnior</x:v>
      </x:c>
      <x:c r="D172" s="63" t="str">
        <x:v>Desenvolvimento backend</x:v>
      </x:c>
      <x:c r="E172" s="63" t="str">
        <x:v>Remoto; CLT; remuneração não divulgada</x:v>
      </x:c>
      <x:c r="F172" s="63" t="str">
        <x:v>https://lina.factorialhr.com.br/job_posting/desenvolvedor-a-backend-junior-324661</x:v>
      </x:c>
      <x:c r="G172" s="63" t="str">
        <x:v>Não informado; validar qualquer nova etapa antes de iniciar</x:v>
      </x:c>
      <x:c r="H172" s="63" t="str">
        <x:v>Revalidar anúncio e personalizar com Node.js, APIs REST, Git, testes, projetos próprios e ADS em andamento.</x:v>
      </x:c>
      <x:c r="I172" s="63" t="str">
        <x:v>02/10/2026</x:v>
      </x:c>
      <x:c r="J172" s="63" t="str">
        <x:v>Triagem de São Paulo/Grande SP: vaga júnior com requisitos de Node.js, REST, Git e testes. A descrição aceita experiência acadêmica, pessoal ou profissional; não foi iniciada candidatura.</x:v>
      </x:c>
      <x:c r="K172" s="63" t="str">
        <x:v>Não — candidatura ainda não iniciada</x:v>
      </x:c>
      <x:c r="L172" t="n">
        <x:f>IF(LEFT(K172,3)="Sim",1,0)+IF(LEFT(K172,6)="Portal",1,0)</x:f>
        <x:v>0</x:v>
      </x:c>
      <x:c r="M172" t="n">
        <x:f>IF(LEFT(A172,8)="Pendente",1,0)</x:f>
        <x:v>1</x:v>
      </x:c>
    </x:row>
    <x:row r="173" ht="52.79999923706055" hidden="0" customHeight="1">
      <x:c r="A173" s="63" t="str">
        <x:v>Pendente — revalidar e candidatar</x:v>
      </x:c>
      <x:c r="B173" s="63" t="str">
        <x:v>TOTVS</x:v>
      </x:c>
      <x:c r="C173" s="63" t="str">
        <x:v>Engenharia de Software Fullstack Júnior (Node.js/TypeScript/React)</x:v>
      </x:c>
      <x:c r="D173" s="63" t="str">
        <x:v>Desenvolvimento full stack</x:v>
      </x:c>
      <x:c r="E173" s="63" t="str">
        <x:v>São Paulo/SP; híbrido; remuneração oficial não divulgada</x:v>
      </x:c>
      <x:c r="F173" s="63" t="str">
        <x:v>https://atracaodetalentos.totvs.app/vempratotvs/extended/</x:v>
      </x:c>
      <x:c r="G173" s="63" t="str">
        <x:v>Não informado; validar qualquer nova etapa antes de iniciar</x:v>
      </x:c>
      <x:c r="H173" s="63" t="str">
        <x:v>Revalidar a vaga específica no portal e personalizar com Node.js, TypeScript, React, REST, Docker, AWS, CI/CD e testes.</x:v>
      </x:c>
      <x:c r="I173" s="63" t="str">
        <x:v>02/10/2026</x:v>
      </x:c>
      <x:c r="J173" s="63" t="str">
        <x:v>Triagem de São Paulo/Grande SP: requisitos relatados são aderentes à stack atual. Qualquer faixa vista em agregador deve ser tratada somente como estimativa, não como salário oficial.</x:v>
      </x:c>
      <x:c r="K173" s="63" t="str">
        <x:v>Não — candidatura ainda não iniciada</x:v>
      </x:c>
      <x:c r="L173" t="n">
        <x:f>IF(LEFT(K173,3)="Sim",1,0)+IF(LEFT(K173,6)="Portal",1,0)</x:f>
        <x:v>0</x:v>
      </x:c>
      <x:c r="M173" t="n">
        <x:f>IF(LEFT(A173,8)="Pendente",1,0)</x:f>
        <x:v>1</x:v>
      </x:c>
    </x:row>
    <x:row r="174" ht="39.599998474121094" hidden="0" customHeight="1">
      <x:c r="A174" s="63" t="str">
        <x:v>Pendente — revalidar e candidatar</x:v>
      </x:c>
      <x:c r="B174" s="63" t="str">
        <x:v>Cinga Tech</x:v>
      </x:c>
      <x:c r="C174" s="63" t="str">
        <x:v>Desenvolvedor(a) Júnior</x:v>
      </x:c>
      <x:c r="D174" s="63" t="str">
        <x:v>Automação e integrações</x:v>
      </x:c>
      <x:c r="E174" s="63" t="str">
        <x:v>São Paulo/SP; remuneração não divulgada</x:v>
      </x:c>
      <x:c r="F174" s="63" t="str">
        <x:v>https://br.indeed.com/viewjob?jk=975d6f32548d1e93</x:v>
      </x:c>
      <x:c r="G174" s="63" t="str">
        <x:v>Não informado; validar qualquer nova etapa antes de iniciar</x:v>
      </x:c>
      <x:c r="H174" s="63" t="str">
        <x:v>Revalidar anúncio e personalizar com Node.js, Python, SQL, APIs, automação, IA e Git.</x:v>
      </x:c>
      <x:c r="I174" s="63" t="str">
        <x:v>02/10/2026</x:v>
      </x:c>
      <x:c r="J174" s="63" t="str">
        <x:v>Triagem de São Paulo/Grande SP: vaga júnior com foco em automação e integrações, tecnicamente aderente. Nenhuma candidatura foi iniciada.</x:v>
      </x:c>
      <x:c r="K174" s="63" t="str">
        <x:v>Não — candidatura ainda não iniciada</x:v>
      </x:c>
      <x:c r="L174" t="n">
        <x:f>IF(LEFT(K174,3)="Sim",1,0)+IF(LEFT(K174,6)="Portal",1,0)</x:f>
        <x:v>0</x:v>
      </x:c>
      <x:c r="M174" t="n">
        <x:f>IF(LEFT(A174,8)="Pendente",1,0)</x:f>
        <x:v>1</x:v>
      </x:c>
    </x:row>
    <x:row r="175" ht="52.79999923706055" hidden="0" customHeight="1">
      <x:c r="A175" s="63" t="str">
        <x:v>Pendente — revalidar e candidatar</x:v>
      </x:c>
      <x:c r="B175" s="63" t="str">
        <x:v>Gestalt Cravo</x:v>
      </x:c>
      <x:c r="C175" s="63" t="str">
        <x:v>Desenvolvedor Full Stack N1</x:v>
      </x:c>
      <x:c r="D175" s="63" t="str">
        <x:v>Desenvolvimento full stack</x:v>
      </x:c>
      <x:c r="E175" s="63" t="str">
        <x:v>Barueri/SP; remoto; remuneração não divulgada</x:v>
      </x:c>
      <x:c r="F175" s="63" t="str">
        <x:v>https://www.simplyhired.com.br/job/anb_KzXgilX2mXoA2KpxJ27gdyT4bhHS2CmkQTwPhSc9FG1xuqwAuQ</x:v>
      </x:c>
      <x:c r="G175" s="63" t="str">
        <x:v>Não informado; validar qualquer nova etapa antes de iniciar</x:v>
      </x:c>
      <x:c r="H175" s="63" t="str">
        <x:v>Revalidar empresa e anúncio antes de enviar; personalizar com JavaScript/TypeScript, Python, React, Node, APIs, webhooks, SQL, Docker, cloud e IA.</x:v>
      </x:c>
      <x:c r="I175" s="63" t="str">
        <x:v>02/10/2026</x:v>
      </x:c>
      <x:c r="J175" s="63" t="str">
        <x:v>Triagem de São Paulo/Grande SP: descrita como júnior/N1 e sem exigência de domínio integral da stack. Link é de agregador, portanto exige validação antes de qualquer candidatura.</x:v>
      </x:c>
      <x:c r="K175" s="63" t="str">
        <x:v>Não — candidatura ainda não iniciada</x:v>
      </x:c>
      <x:c r="L175" t="n">
        <x:f>IF(LEFT(K175,3)="Sim",1,0)+IF(LEFT(K175,6)="Portal",1,0)</x:f>
        <x:v>0</x:v>
      </x:c>
      <x:c r="M175" t="n">
        <x:f>IF(LEFT(A175,8)="Pendente",1,0)</x:f>
        <x:v>1</x:v>
      </x:c>
    </x:row>
    <x:row r="176" ht="66" hidden="0" customHeight="1">
      <x:c r="A176" s="63" t="str">
        <x:v>Enviada</x:v>
      </x:c>
      <x:c r="B176" s="63" t="str">
        <x:v>SCS Saneamento</x:v>
      </x:c>
      <x:c r="C176" s="63" t="str">
        <x:v>Desenvolvedor Full Stack Júnior</x:v>
      </x:c>
      <x:c r="D176" s="63" t="str">
        <x:v>Desenvolvimento full stack</x:v>
      </x:c>
      <x:c r="E176" s="63" t="str">
        <x:v>São Paulo/SP (Berrini); presencial; PJ; salário divulgado R$ 6.000 a R$ 6.500</x:v>
      </x:c>
      <x:c r="F176" s="63" t="str">
        <x:v>https://scs-saneamento.pandape.infojobs.com.br/Detail/3683559</x:v>
      </x:c>
      <x:c r="G176" s="63" t="str">
        <x:v>Nenhuma avaliação declarada no momento; acompanhar portal e e-mail</x:v>
      </x:c>
      <x:c r="H176" s="63" t="str">
        <x:v>Acompanhar portal e e-mail. Preparar exemplos de React, APIs REST, PostgreSQL/MySQL, Git, testes, integração de sistemas e documentação; Kotlin segue como ponto de estudo.</x:v>
      </x:c>
      <x:c r="I176" s="63" t="str">
        <x:v>02/10/2026</x:v>
      </x:c>
      <x:c r="J176" s="63" t="str">
        <x:v>O portal Pandapé confirmou que o e-mail cadastrado já foi utilizado nesta vaga e que o candidato já participa do processo seletivo. A descrição exige React, Kotlin, Node.js, APIs REST, PostgreSQL/MySQL, Git e testes; Kotlin é o principal ponto de desenvolvimento atual.</x:v>
      </x:c>
      <x:c r="K176" s="63" t="str">
        <x:v>Portal — participação já existente confirmada em 02/10</x:v>
      </x:c>
      <x:c r="L176" t="n">
        <x:f>IF(LEFT(K176,3)="Sim",1,0)+IF(LEFT(K176,6)="Portal",1,0)</x:f>
        <x:v>1</x:v>
      </x:c>
      <x:c r="M176" t="n">
        <x:f>IF(LEFT(A176,8)="Pendente",1,0)</x:f>
        <x:v>0</x:v>
      </x:c>
    </x:row>
    <x:row r="177" ht="66" hidden="0" customHeight="1">
      <x:c r="A177" s="63" t="str">
        <x:v>Pendente — formulário e upload</x:v>
      </x:c>
      <x:c r="B177" s="63" t="str">
        <x:v>Datum</x:v>
      </x:c>
      <x:c r="C177" s="63" t="str">
        <x:v>Pessoa Desenvolvedora Java Júnior (NextGen)</x:v>
      </x:c>
      <x:c r="D177" s="63" t="str">
        <x:v>Desenvolvimento backend</x:v>
      </x:c>
      <x:c r="E177" s="63" t="str">
        <x:v>São Paulo/SP; híbrido (Zona Sul); remuneração não divulgada</x:v>
      </x:c>
      <x:c r="F177" s="63" t="str">
        <x:v>https://datum.jobs.recrut.ai/gender-predict/job/XV0CV0</x:v>
      </x:c>
      <x:c r="G177" s="63" t="str">
        <x:v>Nenhuma avaliação acessada; formulário não enviado</x:v>
      </x:c>
      <x:c r="H177" s="63" t="str">
        <x:v>Anexar o currículo mestre atualizado e preencher o CEP real antes do envio. Depois, personalizar com Java, APIs, SQL, Docker, integração de sistemas, testes e aprendizagem contínua.</x:v>
      </x:c>
      <x:c r="I177" s="63" t="str">
        <x:v>02/10/2026</x:v>
      </x:c>
      <x:c r="J177" s="63" t="str">
        <x:v>Anúncio oficial revalidado como ativo e muito compatível com início de carreira: conhecimento em Java é obrigatório e um ano profissional é apenas desejável. O formulário exige dados cadastrais, CEP e upload local obrigatório do currículo; não foi enviado sem esses itens.</x:v>
      </x:c>
      <x:c r="K177" s="63" t="str">
        <x:v>Não — upload de currículo e CEP obrigatórios pendentes</x:v>
      </x:c>
      <x:c r="L177" t="n">
        <x:f>IF(LEFT(K177,3)="Sim",1,0)+IF(LEFT(K177,6)="Portal",1,0)</x:f>
        <x:v>0</x:v>
      </x:c>
      <x:c r="M177" t="n">
        <x:f>IF(LEFT(A177,8)="Pendente",1,0)</x:f>
        <x:v>1</x:v>
      </x:c>
    </x:row>
    <x:row r="178" ht="52.79999923706055" hidden="0" customHeight="1">
      <x:c r="A178" s="63" t="str">
        <x:v>Pendente — revalidar e candidatar</x:v>
      </x:c>
      <x:c r="B178" s="63" t="str">
        <x:v>NOVA S.A.</x:v>
      </x:c>
      <x:c r="C178" s="63" t="str">
        <x:v>Desenvolvedor de RPA Júnior</x:v>
      </x:c>
      <x:c r="D178" s="63" t="str">
        <x:v>Automação e dados</x:v>
      </x:c>
      <x:c r="E178" s="63" t="str">
        <x:v>São Paulo/SP; presencial; salário divulgado R$ 4.000 a R$ 5.000</x:v>
      </x:c>
      <x:c r="F178" s="63" t="str">
        <x:v>https://novagencia.vagas.solides.com.br/</x:v>
      </x:c>
      <x:c r="G178" s="63" t="str">
        <x:v>Não informado; validar qualquer nova etapa antes de iniciar</x:v>
      </x:c>
      <x:c r="H178" s="63" t="str">
        <x:v>Revalidar vaga específica no portal e personalizar com automação, APIs, OCR, ETL, dados e IA; RPA/Power BI são pontos de estudo.</x:v>
      </x:c>
      <x:c r="I178" s="63" t="str">
        <x:v>02/10/2026</x:v>
      </x:c>
      <x:c r="J178" s="63" t="str">
        <x:v>Triagem de São Paulo/Grande SP: vaga júnior com remuneração divulgada. Boa transição para automação; precisa validar requisitos específicos de RPA, ML e Power BI antes de enviar.</x:v>
      </x:c>
      <x:c r="K178" s="63" t="str">
        <x:v>Não — candidatura ainda não iniciada</x:v>
      </x:c>
      <x:c r="L178" t="n">
        <x:f>IF(LEFT(K178,3)="Sim",1,0)+IF(LEFT(K178,6)="Portal",1,0)</x:f>
        <x:v>0</x:v>
      </x:c>
      <x:c r="M178" t="n">
        <x:f>IF(LEFT(A178,8)="Pendente",1,0)</x:f>
        <x:v>1</x:v>
      </x:c>
    </x:row>
    <x:row r="179" ht="52.79999923706055" hidden="0" customHeight="1">
      <x:c r="A179" s="63" t="str">
        <x:v>Pendente — revalidar e candidatar</x:v>
      </x:c>
      <x:c r="B179" s="63" t="str">
        <x:v>Saúde Link</x:v>
      </x:c>
      <x:c r="C179" s="63" t="str">
        <x:v>Analista Desenvolvedor Pleno</x:v>
      </x:c>
      <x:c r="D179" s="63" t="str">
        <x:v>Desenvolvimento e integrações</x:v>
      </x:c>
      <x:c r="E179" s="63" t="str">
        <x:v>São Paulo/SP (Chácara Santo Antônio); CLT presencial; remuneração não divulgada</x:v>
      </x:c>
      <x:c r="F179" s="63" t="str">
        <x:v>https://www.infojobs.com.br/vaga-de-analista-desenvolvedor-pleno-em-sao-paulo__12066791.aspx</x:v>
      </x:c>
      <x:c r="G179" s="63" t="str">
        <x:v>Não informado; validar qualquer nova etapa antes de iniciar</x:v>
      </x:c>
      <x:c r="H179" s="63" t="str">
        <x:v>Revalidar anúncio e personalizar com sistemas web, APIs, integrações, bancos de dados, automação e Git. Informar formação em andamento de forma factual.</x:v>
      </x:c>
      <x:c r="I179" s="63" t="str">
        <x:v>02/10/2026</x:v>
      </x:c>
      <x:c r="J179" s="63" t="str">
        <x:v>Exceção de pleno analisada: a descrição aceita formação completa ou em andamento e não declara anos mínimos nem inglês obrigatório. Mantida apenas por ser compatível com perfil júnior na prática; não há candidatura iniciada.</x:v>
      </x:c>
      <x:c r="K179" s="63" t="str">
        <x:v>Não — candidatura ainda não iniciada</x:v>
      </x:c>
      <x:c r="L179" t="n">
        <x:f>IF(LEFT(K179,3)="Sim",1,0)+IF(LEFT(K179,6)="Portal",1,0)</x:f>
        <x:v>0</x:v>
      </x:c>
      <x:c r="M179" t="n">
        <x:f>IF(LEFT(A179,8)="Pendente",1,0)</x:f>
        <x:v>1</x:v>
      </x:c>
    </x:row>
    <x:row r="180" ht="66" hidden="0" customHeight="1">
      <x:c r="A180" s="63" t="str">
        <x:v>Enviada</x:v>
      </x:c>
      <x:c r="B180" s="63" t="str">
        <x:v>B2Finance / H&amp;CO</x:v>
      </x:c>
      <x:c r="C180" s="63" t="str">
        <x:v>Full Stack Júnior</x:v>
      </x:c>
      <x:c r="D180" s="63" t="str">
        <x:v>Desenvolvimento full stack</x:v>
      </x:c>
      <x:c r="E180" s="63" t="str">
        <x:v>Remoto; PJ; remuneração não divulgada</x:v>
      </x:c>
      <x:c r="F180" s="63" t="str">
        <x:v>https://b2financebpo.pandape.infojobs.com.br/Detail/3742624</x:v>
      </x:c>
      <x:c r="G180" s="63" t="str">
        <x:v>Não informado</x:v>
      </x:c>
      <x:c r="H180" s="63" t="str">
        <x:v>Acompanhar e-mail e portal; manter currículo com Performance Lab e projetos de integração atualizado.</x:v>
      </x:c>
      <x:c r="I180" s="63" t="str">
        <x:v>02/10/2026</x:v>
      </x:c>
      <x:c r="J180" s="63" t="str">
        <x:v>O portal reconheceu o e-mail como participante da seleção em 02/10. Registro incluído para evitar candidatura duplicada. A vaga aceita projetos práticos e tem aderência a React/Next, Node/Python, PostgreSQL, APIs, Git, Docker e IA.</x:v>
      </x:c>
      <x:c r="K180" s="63" t="str">
        <x:v>Portal — participação já existente 02/10</x:v>
      </x:c>
      <x:c r="L180" t="n">
        <x:f>IF(LEFT(K180,3)="Sim",1,0)+IF(LEFT(K180,6)="Portal",1,0)</x:f>
        <x:v>1</x:v>
      </x:c>
      <x:c r="M180" t="n">
        <x:f>IF(LEFT(A180,8)="Pendente",1,0)</x:f>
        <x:v>0</x:v>
      </x:c>
    </x:row>
    <x:row r="181" ht="52.79999923706055" hidden="0" customHeight="1">
      <x:c r="A181" s="63" t="str">
        <x:v>Pendente — upload de currículo</x:v>
      </x:c>
      <x:c r="B181" s="63" t="str">
        <x:v>Serasa Experian</x:v>
      </x:c>
      <x:c r="C181" s="63" t="str">
        <x:v>Analista de Desenvolvimento de Software I — Backend Java</x:v>
      </x:c>
      <x:c r="D181" s="63" t="str">
        <x:v>Desenvolvimento backend</x:v>
      </x:c>
      <x:c r="E181" s="63" t="str">
        <x:v>Home office; remuneração não divulgada</x:v>
      </x:c>
      <x:c r="F181" s="63" t="str">
        <x:v>https://jobs.smartrecruiters.com/Experian/744000149686309-analista-de-desenvolvimento-de-software-ii</x:v>
      </x:c>
      <x:c r="G181" s="63" t="str">
        <x:v>Não informado</x:v>
      </x:c>
      <x:c r="H181" s="63" t="str">
        <x:v>Anexar o currículo mestre atualizado no formulário SmartRecruiters e revisar a mensagem personalizada antes do envio.</x:v>
      </x:c>
      <x:c r="I181" s="63" t="str">
        <x:v>02/10/2026</x:v>
      </x:c>
      <x:c r="J181" s="63" t="str">
        <x:v>Vaga júnior compatível com Java, REST, SQL, Git, testes, Docker, CI/CD, cloud e agentes de IA. Formulário aberto, mas o portal exige upload local do PDF antes do envio; candidatura ainda não foi enviada.</x:v>
      </x:c>
      <x:c r="K181" s="63" t="str">
        <x:v>Não — upload obrigatório pendente</x:v>
      </x:c>
      <x:c r="L181" t="n">
        <x:f>IF(LEFT(K181,3)="Sim",1,0)+IF(LEFT(K181,6)="Portal",1,0)</x:f>
        <x:v>0</x:v>
      </x:c>
      <x:c r="M181" t="n">
        <x:f>IF(LEFT(A181,8)="Pendente",1,0)</x:f>
        <x:v>1</x:v>
      </x:c>
    </x:row>
    <x:row r="182" ht="66" hidden="0" customHeight="1">
      <x:c r="A182" s="63" t="str">
        <x:v>Enviada</x:v>
      </x:c>
      <x:c r="B182" s="63" t="str">
        <x:v>SoftExpert</x:v>
      </x:c>
      <x:c r="C182" s="63" t="str">
        <x:v>Desenvolvedor(a) Full Stack Júnior (PHP/React)</x:v>
      </x:c>
      <x:c r="D182" s="63" t="str">
        <x:v>Desenvolvimento full stack</x:v>
      </x:c>
      <x:c r="E182" s="63" t="str">
        <x:v>Remoto Brasil; CLT; remuneração não divulgada</x:v>
      </x:c>
      <x:c r="F182" s="63" t="str">
        <x:v>Acessar na plataforma (link privado removido)</x:v>
      </x:c>
      <x:c r="G182" s="63" t="str">
        <x:v>Avaliação comportamental futura — realizar pessoalmente se acionada</x:v>
      </x:c>
      <x:c r="H182" s="63" t="str">
        <x:v>Acompanhar e-mail e portal. Preparar exemplos factuais de PHP, React, APIs REST, SQL/PostgreSQL e Git.</x:v>
      </x:c>
      <x:c r="I182" s="63" t="str">
        <x:v>02/10/2026</x:v>
      </x:c>
      <x:c r="J182" s="63" t="str">
        <x:v>Candidatura Gupy finalizada com apresentação personalizada. Foram destacados Performance Lab/KNOTEN, PHP e frontend para NOW PRO, scraping e integrações de APIs, sem alegar experiência não comprovada.</x:v>
      </x:c>
      <x:c r="K182" s="63" t="str">
        <x:v>Sim — candidatura finalizada na Gupy 02/10</x:v>
      </x:c>
      <x:c r="L182" t="n">
        <x:f>IF(LEFT(K182,3)="Sim",1,0)+IF(LEFT(K182,6)="Portal",1,0)</x:f>
        <x:v>1</x:v>
      </x:c>
      <x:c r="M182" t="n">
        <x:f>IF(LEFT(A182,8)="Pendente",1,0)</x:f>
        <x:v>0</x:v>
      </x:c>
    </x:row>
    <x:row r="183" ht="39.599998474121094" hidden="0" customHeight="1">
      <x:c r="A183" s="63" t="str">
        <x:v>Enviada</x:v>
      </x:c>
      <x:c r="B183" s="63" t="str">
        <x:v>Skeelo</x:v>
      </x:c>
      <x:c r="C183" s="63" t="str">
        <x:v>Backend Engineer I</x:v>
      </x:c>
      <x:c r="D183" s="63" t="str">
        <x:v>Desenvolvimento backend</x:v>
      </x:c>
      <x:c r="E183" s="63" t="str">
        <x:v>Remoto Brasil; modalidade de contratação e remuneração não divulgadas</x:v>
      </x:c>
      <x:c r="F183" s="63" t="str">
        <x:v>https://ats.rippling.com/skeelo/jobs/4009c7eb-ec6d-43cc-bbb7-be859bc7cb34</x:v>
      </x:c>
      <x:c r="G183" s="63" t="str">
        <x:v>Nenhuma avaliação declarada no envio</x:v>
      </x:c>
      <x:c r="H183" s="63" t="str">
        <x:v>Acompanhar e-mail e portal. Preparar exemplos de APIs, Node.js em projetos práticos, PostgreSQL, Git, Docker e observabilidade.</x:v>
      </x:c>
      <x:c r="I183" s="63" t="str">
        <x:v>02/10/2026</x:v>
      </x:c>
      <x:c r="J183" s="63" t="str">
        <x:v>Portal Rippling confirmou o envio. Pretensão informada: R$ 5.000 brutos/mês, negociável; inglês B1 e espanhol A2 foram declarados de forma factual.</x:v>
      </x:c>
      <x:c r="K183" s="63" t="str">
        <x:v>Portal — candidatura confirmada 02/10</x:v>
      </x:c>
      <x:c r="L183" t="n">
        <x:f>IF(LEFT(K183,3)="Sim",1,0)+IF(LEFT(K183,6)="Portal",1,0)</x:f>
        <x:v>1</x:v>
      </x:c>
      <x:c r="M183" t="n">
        <x:f>IF(LEFT(A183,8)="Pendente",1,0)</x:f>
        <x:v>0</x:v>
      </x:c>
    </x:row>
    <x:row r="184" ht="39.599998474121094" hidden="0" customHeight="1">
      <x:c r="A184" s="63" t="str">
        <x:v>Enviada</x:v>
      </x:c>
      <x:c r="B184" s="63" t="str">
        <x:v>Bullla</x:v>
      </x:c>
      <x:c r="C184" s="63" t="str">
        <x:v>Analista de Dados Júnior</x:v>
      </x:c>
      <x:c r="D184" s="63" t="str">
        <x:v>Dados e BI</x:v>
      </x:c>
      <x:c r="E184" s="63" t="str">
        <x:v>São Paulo/SP; híbrido; CLT; remuneração a combinar</x:v>
      </x:c>
      <x:c r="F184" s="63" t="str">
        <x:v>https://atracaodetalentos.totvs.app/oportunidadesbullla/61/analista-de-dados-junior</x:v>
      </x:c>
      <x:c r="G184" s="63" t="str">
        <x:v>Acompanhar e-mail e portal; não havia avaliação na submissão</x:v>
      </x:c>
      <x:c r="H184" s="63" t="str">
        <x:v>Preparar exemplos de SQL, Python, automação, APIs e análise de dados. Não apresentar experiência formal de BI além do que for comprovável.</x:v>
      </x:c>
      <x:c r="I184" s="63" t="str">
        <x:v>02/10/2026</x:v>
      </x:c>
      <x:c r="J184" s="63" t="str">
        <x:v>TOTVS RH confirmou: candidatura enviada com sucesso. Aderência em SQL, Python, Git, automação e dados; PySpark/Scala/Databricks ficam como pontos de estudo.</x:v>
      </x:c>
      <x:c r="K184" s="63" t="str">
        <x:v>Portal — candidatura confirmada 02/10</x:v>
      </x:c>
      <x:c r="L184" t="n">
        <x:f>IF(LEFT(K184,3)="Sim",1,0)+IF(LEFT(K184,6)="Portal",1,0)</x:f>
        <x:v>1</x:v>
      </x:c>
      <x:c r="M184" t="n">
        <x:f>IF(LEFT(A184,8)="Pendente",1,0)</x:f>
        <x:v>0</x:v>
      </x:c>
    </x:row>
    <x:row r="185" ht="52.79999923706055" hidden="0" customHeight="1">
      <x:c r="A185" s="63" t="str">
        <x:v>Enviada</x:v>
      </x:c>
      <x:c r="B185" s="63" t="str">
        <x:v>Viceri SEIDOR</x:v>
      </x:c>
      <x:c r="C185" s="63" t="str">
        <x:v>Pessoa Desenvolvedora Full Stack Júnior — Front-End e Cloud Azure</x:v>
      </x:c>
      <x:c r="D185" s="63" t="str">
        <x:v>Desenvolvimento full stack</x:v>
      </x:c>
      <x:c r="E185" s="63" t="str">
        <x:v>Remoto; efetivo; remuneração não divulgada</x:v>
      </x:c>
      <x:c r="F185" s="63" t="str">
        <x:v>Acessar na plataforma (link privado removido)</x:v>
      </x:c>
      <x:c r="G185" s="63" t="str">
        <x:v>Mapeamento comportamental, atenção/raciocínio lógico e teste técnico guiado podem ocorrer depois — realizar pessoalmente</x:v>
      </x:c>
      <x:c r="H185" s="63" t="str">
        <x:v>Acompanhar e-mail e portal. Revisar Angular, Node.js, Azure, OAuth 2.0, CI/CD e Docker antes de entrevistas ou testes futuros.</x:v>
      </x:c>
      <x:c r="I185" s="63" t="str">
        <x:v>02/10/2026</x:v>
      </x:c>
      <x:c r="J185" s="63" t="str">
        <x:v>Candidatura finalizada na Gupy. Pretensão informada: R$ 5.000 CLT, negociável. Texto personalizado conectou Performance Lab, NOW PRO, TypeScript, APIs, Git, Docker e evolução transparente em Angular/Node/Azure.</x:v>
      </x:c>
      <x:c r="K185" s="63" t="str">
        <x:v>Sim — candidatura finalizada na Gupy 02/10</x:v>
      </x:c>
      <x:c r="L185" t="n">
        <x:f>IF(LEFT(K185,3)="Sim",1,0)+IF(LEFT(K185,6)="Portal",1,0)</x:f>
        <x:v>1</x:v>
      </x:c>
      <x:c r="M185" t="n">
        <x:f>IF(LEFT(A185,8)="Pendente",1,0)</x:f>
        <x:v>0</x:v>
      </x:c>
    </x:row>
    <x:row r="186" ht="52.79999923706055" hidden="0" customHeight="1">
      <x:c r="A186" s="63" t="str">
        <x:v>Eliminada — requisito técnico</x:v>
      </x:c>
      <x:c r="B186" s="63" t="str">
        <x:v>Atento TI</x:v>
      </x:c>
      <x:c r="C186" s="63" t="str">
        <x:v>Desenvolvedor Full Stack Pleno (.NET | SQL Server | Cloud)</x:v>
      </x:c>
      <x:c r="D186" s="63" t="str">
        <x:v>Desenvolvimento full stack</x:v>
      </x:c>
      <x:c r="E186" s="63" t="str">
        <x:v>Modalidade não declarada; salário oficial R$ 4.030; efetivo</x:v>
      </x:c>
      <x:c r="F186" s="63" t="str">
        <x:v>Acessar na plataforma (link privado removido)</x:v>
      </x:c>
      <x:c r="G186" s="63" t="str">
        <x:v>Encerrada pelo filtro eliminatório do portal</x:v>
      </x:c>
      <x:c r="H186" s="63" t="str">
        <x:v>Não reaplicar. Priorizar estudo prático de SQL Server e SSIS somente se houver interesse em vagas semelhantes.</x:v>
      </x:c>
      <x:c r="I186" s="63" t="str">
        <x:v>02/10/2026</x:v>
      </x:c>
      <x:c r="J186" s="63" t="str">
        <x:v>A Gupy eliminou a candidatura pelo requisito obrigatório de experiência com SQL Server. A resposta foi mantida factual: há experiência com PostgreSQL/SQL, não com SQL Server; SSIS também foi informado como não.</x:v>
      </x:c>
      <x:c r="K186" s="63" t="str">
        <x:v>Não — eliminada por requisito obrigatório 02/10</x:v>
      </x:c>
      <x:c r="L186" t="n">
        <x:f>IF(LEFT(K186,3)="Sim",1,0)+IF(LEFT(K186,6)="Portal",1,0)</x:f>
        <x:v>0</x:v>
      </x:c>
      <x:c r="M186" t="n">
        <x:f>IF(LEFT(A186,8)="Pendente",1,0)</x:f>
        <x:v>0</x:v>
      </x:c>
    </x:row>
    <x:row r="187" ht="66" hidden="0" customHeight="1">
      <x:c r="A187" s="63" t="str">
        <x:v>Eliminada — requisitos técnicos</x:v>
      </x:c>
      <x:c r="B187" s="63" t="str">
        <x:v>Cuattro Live &amp; Digital</x:v>
      </x:c>
      <x:c r="C187" s="63" t="str">
        <x:v>Desenvolvedor(a) de Software Júnior | Full-Stack | Produtos Digitais</x:v>
      </x:c>
      <x:c r="D187" s="63" t="str">
        <x:v>Desenvolvimento full stack e IA</x:v>
      </x:c>
      <x:c r="E187" s="63" t="str">
        <x:v>São Paulo/SP; híbrido 3x/semana; PJ; remuneração não divulgada</x:v>
      </x:c>
      <x:c r="F187" s="63" t="str">
        <x:v>Acessar na plataforma (link privado removido)</x:v>
      </x:c>
      <x:c r="G187" s="63" t="str">
        <x:v>Encerrada pelo filtro eliminatório do portal</x:v>
      </x:c>
      <x:c r="H187" s="63" t="str">
        <x:v>Não reaplicar. Se quiser mirar vagas semelhantes, consolidar evidências de Node.js prático e NoSQL em projeto real antes de nova candidatura.</x:v>
      </x:c>
      <x:c r="I187" s="63" t="str">
        <x:v>02/10/2026</x:v>
      </x:c>
      <x:c r="J187" s="63" t="str">
        <x:v>A Gupy eliminou a candidatura por respostas bloqueadas previamente para experiência prática em Node.js e NoSQL. Os campos estavam travados e não foram alterados; a apresentação foi atualizada de forma factual com Performance Lab antes da finalização.</x:v>
      </x:c>
      <x:c r="K187" s="63" t="str">
        <x:v>Não — eliminada por requisitos obrigatórios 02/10</x:v>
      </x:c>
      <x:c r="L187" t="n">
        <x:f>IF(LEFT(K187,3)="Sim",1,0)+IF(LEFT(K187,6)="Portal",1,0)</x:f>
        <x:v>0</x:v>
      </x:c>
      <x:c r="M187" t="n">
        <x:f>IF(LEFT(A187,8)="Pendente",1,0)</x:f>
        <x:v>0</x:v>
      </x:c>
    </x:row>
    <x:row r="188" ht="39.599998474121094" hidden="0" customHeight="1">
      <x:c r="A188" s="63" t="str">
        <x:v>Pendente — login/cadastro</x:v>
      </x:c>
      <x:c r="B188" s="63" t="str">
        <x:v>Lyncas</x:v>
      </x:c>
      <x:c r="C188" s="63" t="str">
        <x:v>Desenvolvedor Full Stack Júnior (Node.js e React)</x:v>
      </x:c>
      <x:c r="D188" s="63" t="str">
        <x:v>Desenvolvimento full stack</x:v>
      </x:c>
      <x:c r="E188" s="63" t="str">
        <x:v>São Paulo/SP; híbrido; remuneração não divulgada</x:v>
      </x:c>
      <x:c r="F188" s="63" t="str">
        <x:v>https://www.netvagas.com.br/empresa/anuncios/a2167432/desenvolvedor-fullstack-junior-node-e-react-hibrido-sp-fln-joinville-ou-poa/?apply=2</x:v>
      </x:c>
      <x:c r="G188" s="63" t="str">
        <x:v>Nenhuma avaliação acessível sem login</x:v>
      </x:c>
      <x:c r="H188" s="63" t="str">
        <x:v>Efetuar login/cadastro no NetVagas/InHire, revisar o anúncio atual e personalizar com React, TypeScript, APIs, PostgreSQL, Git, Docker e Node.js em projetos práticos.</x:v>
      </x:c>
      <x:c r="I188" s="63" t="str">
        <x:v>02/10/2026</x:v>
      </x:c>
      <x:c r="J188" s="63" t="str">
        <x:v>Vaga válida e compatível, mas o fluxo externo exige login/cadastro antes de redirecionar para a candidatura. Nenhuma senha foi criada ou presumida.</x:v>
      </x:c>
      <x:c r="K188" s="63" t="str">
        <x:v>Não — login/cadastro externo pendente</x:v>
      </x:c>
      <x:c r="L188" t="n">
        <x:f>IF(LEFT(K188,3)="Sim",1,0)+IF(LEFT(K188,6)="Portal",1,0)</x:f>
        <x:v>0</x:v>
      </x:c>
      <x:c r="M188" t="n">
        <x:f>IF(LEFT(A188,8)="Pendente",1,0)</x:f>
        <x:v>1</x:v>
      </x:c>
    </x:row>
    <x:row r="189" ht="52.79999923706055" hidden="0" customHeight="1">
      <x:c r="A189" s="63" t="str">
        <x:v>Enviada</x:v>
      </x:c>
      <x:c r="B189" s="63" t="str">
        <x:v>Suhai Seguradora</x:v>
      </x:c>
      <x:c r="C189" s="63" t="str">
        <x:v>Analista de Dados Júnior</x:v>
      </x:c>
      <x:c r="D189" s="63" t="str">
        <x:v>Dados e Analytics</x:v>
      </x:c>
      <x:c r="E189" s="63" t="str">
        <x:v>São Paulo/SP; híbrido; efetivo; remuneração não divulgada</x:v>
      </x:c>
      <x:c r="F189" s="63" t="str">
        <x:v>Acessar na plataforma (link privado removido)</x:v>
      </x:c>
      <x:c r="G189" s="63" t="str">
        <x:v>Mapeamento comportamental pode ocorrer depois — realizar pessoalmente</x:v>
      </x:c>
      <x:c r="H189" s="63" t="str">
        <x:v>Acompanhar e-mail e portal. Estudar Power BI e Databricks; consolidar exemplos de SQL, Python, limpeza de dados, automação e Excel.</x:v>
      </x:c>
      <x:c r="I189" s="63" t="str">
        <x:v>02/10/2026</x:v>
      </x:c>
      <x:c r="J189" s="63" t="str">
        <x:v>Candidatura finalizada na Gupy com apresentação personalizada para dados e Analytics. Respostas já bloqueadas pelo portal declaravam SQL e Python, não Power BI; não foram alteradas.</x:v>
      </x:c>
      <x:c r="K189" s="63" t="str">
        <x:v>Sim — candidatura finalizada na Gupy 02/10</x:v>
      </x:c>
      <x:c r="L189" t="n">
        <x:f>IF(LEFT(K189,3)="Sim",1,0)+IF(LEFT(K189,6)="Portal",1,0)</x:f>
        <x:v>1</x:v>
      </x:c>
      <x:c r="M189" t="n">
        <x:f>IF(LEFT(A189,8)="Pendente",1,0)</x:f>
        <x:v>0</x:v>
      </x:c>
    </x:row>
    <x:row r="190" ht="52.79999923706055" hidden="0" customHeight="1">
      <x:c r="A190" s="63" t="str">
        <x:v>Enviada</x:v>
      </x:c>
      <x:c r="B190" s="63" t="str">
        <x:v>JETSOFT</x:v>
      </x:c>
      <x:c r="C190" s="63" t="str">
        <x:v>Desenvolvedor(a) Fullstack</x:v>
      </x:c>
      <x:c r="D190" s="63" t="str">
        <x:v>Desenvolvimento full stack e IA</x:v>
      </x:c>
      <x:c r="E190" s="63" t="str">
        <x:v>São Paulo/SP ou Vale do Paraíba/SP; híbrido; CLT; remuneração oficial a combinar</x:v>
      </x:c>
      <x:c r="F190" s="63" t="str">
        <x:v>https://www.catho.com.br/vagas/desenvolvedora-fullstack/38135336/</x:v>
      </x:c>
      <x:c r="G190" s="63" t="str">
        <x:v>Nenhuma avaliação declarada na candidatura</x:v>
      </x:c>
      <x:c r="H190" s="63" t="str">
        <x:v>Acompanhar e-mail e Catho. Preparar exemplos de React, TypeScript, Python, APIs REST, SQL, Git, testes e integrações com IA.</x:v>
      </x:c>
      <x:c r="I190" s="63" t="str">
        <x:v>02/10/2026</x:v>
      </x:c>
      <x:c r="J190" s="63" t="str">
        <x:v>Candidatura confirmada na Catho com a mensagem 'CV enviado!'. Foram respondidas de forma factual as perguntas sobre backend em Python, APIs REST, SQL, experiência profissional full stack e React/TypeScript.</x:v>
      </x:c>
      <x:c r="K190" s="63" t="str">
        <x:v>Portal — CV enviado 02/10</x:v>
      </x:c>
      <x:c r="L190" t="n">
        <x:f>IF(LEFT(K190,3)="Sim",1,0)+IF(LEFT(K190,6)="Portal",1,0)</x:f>
        <x:v>1</x:v>
      </x:c>
      <x:c r="M190" t="n">
        <x:f>IF(LEFT(A190,8)="Pendente",1,0)</x:f>
        <x:v>0</x:v>
      </x:c>
    </x:row>
    <x:row r="191" ht="52.79999923706055" hidden="0" customHeight="1">
      <x:c r="A191" s="63" t="str">
        <x:v>Enviada</x:v>
      </x:c>
      <x:c r="B191" s="63" t="str">
        <x:v>MEOSST Tecnologia Ltda.</x:v>
      </x:c>
      <x:c r="C191" s="63" t="str">
        <x:v>Desenvolvedor Full Stack Pleno</x:v>
      </x:c>
      <x:c r="D191" s="63" t="str">
        <x:v>Desenvolvimento full stack, integrações e IA</x:v>
      </x:c>
      <x:c r="E191" s="63" t="str">
        <x:v>São Paulo/SP; PJ; 44 horas semanais; salário oficial R$ 3.500</x:v>
      </x:c>
      <x:c r="F191" s="63" t="str">
        <x:v>https://www.catho.com.br/vagas/desenvolvedor-full-stack-pleno/37943370/</x:v>
      </x:c>
      <x:c r="G191" s="63" t="str">
        <x:v>Nenhuma avaliação declarada na candidatura</x:v>
      </x:c>
      <x:c r="H191" s="63" t="str">
        <x:v>Acompanhar e-mail e Catho. Preparar exemplos de frontend, backend, APIs, integrações, SQL, JSON, Git, automação e publicação de aplicações.</x:v>
      </x:c>
      <x:c r="I191" s="63" t="str">
        <x:v>02/10/2026</x:v>
      </x:c>
      <x:c r="J191" s="63" t="str">
        <x:v>Candidatura confirmada na Catho com a mensagem 'CV enviado!'. Embora o título seja pleno, a descrição não exigia anos mínimos e disse que não era necessário dominar todas as tecnologias listadas.</x:v>
      </x:c>
      <x:c r="K191" s="63" t="str">
        <x:v>Portal — CV enviado 02/10</x:v>
      </x:c>
      <x:c r="L191" t="n">
        <x:f>IF(LEFT(K191,3)="Sim",1,0)+IF(LEFT(K191,6)="Portal",1,0)</x:f>
        <x:v>1</x:v>
      </x:c>
      <x:c r="M191" t="n">
        <x:f>IF(LEFT(A191,8)="Pendente",1,0)</x:f>
        <x:v>0</x:v>
      </x:c>
    </x:row>
    <x:row r="192" ht="66" hidden="0" customHeight="1">
      <x:c r="A192" s="63" t="str">
        <x:v>Pendente — confirmar requisito de tempo</x:v>
      </x:c>
      <x:c r="B192" s="63" t="str">
        <x:v>NOVVAX Tecnologia</x:v>
      </x:c>
      <x:c r="C192" s="63" t="str">
        <x:v>Desenvolvedor Full Stack</x:v>
      </x:c>
      <x:c r="D192" s="63" t="str">
        <x:v>Desenvolvimento full stack</x:v>
      </x:c>
      <x:c r="E192" s="63" t="str">
        <x:v>São Paulo/SP; híbrido inicial 2 dias; PJ; salário oficial a partir de R$ 3.000</x:v>
      </x:c>
      <x:c r="F192" s="63" t="str">
        <x:v>https://www.catho.com.br/vagas/desenvolvedor-full-stack/37858394/</x:v>
      </x:c>
      <x:c r="G192" s="63" t="str">
        <x:v>Sem avaliação acessada; formulário pergunta sobre mínimo de 2 anos de atuação full stack</x:v>
      </x:c>
      <x:c r="H192" s="63" t="str">
        <x:v>Confirmar a duração comprovável de experiência profissional full stack antes de responder. A vaga pede React, Python, PHP, PostgreSQL, MongoDB e Git; MongoDB também é gap atual.</x:v>
      </x:c>
      <x:c r="I192" s="63" t="str">
        <x:v>02/10/2026</x:v>
      </x:c>
      <x:c r="J192" s="63" t="str">
        <x:v>Vaga revisada e não enviada: o formulário exige confirmação de pelo menos dois anos de atuação como desenvolvedor full stack. A informação disponível confirma experiência profissional, mas não estabelece esse período com segurança.</x:v>
      </x:c>
      <x:c r="K192" s="63" t="str">
        <x:v>Não — requisito de tempo ainda sem confirmação</x:v>
      </x:c>
      <x:c r="L192" t="n">
        <x:f>IF(LEFT(K192,3)="Sim",1,0)+IF(LEFT(K192,6)="Portal",1,0)</x:f>
        <x:v>0</x:v>
      </x:c>
      <x:c r="M192" t="n">
        <x:f>IF(LEFT(A192,8)="Pendente",1,0)</x:f>
        <x:v>1</x:v>
      </x:c>
    </x:row>
    <x:row r="193" ht="52.79999923706055" hidden="0" customHeight="1">
      <x:c r="A193" s="63" t="str">
        <x:v>Pendente — gaps obrigatórios</x:v>
      </x:c>
      <x:c r="B193" s="63" t="str">
        <x:v>Interação - Soluções Inteligentes em Educação</x:v>
      </x:c>
      <x:c r="C193" s="63" t="str">
        <x:v>Desenvolvedor(a) FullStack - Plataforma Web Gamificada</x:v>
      </x:c>
      <x:c r="D193" s="63" t="str">
        <x:v>Desenvolvimento full stack e IA</x:v>
      </x:c>
      <x:c r="E193" s="63" t="str">
        <x:v>Remoto; PJ temporário de 3 meses; 40 horas semanais; remuneração não divulgada</x:v>
      </x:c>
      <x:c r="F193" s="63" t="str">
        <x:v>https://www.catho.com.br/vagas/desenvolvedora-fullstack-plataforma-web-gamificada/38407663/</x:v>
      </x:c>
      <x:c r="G193" s="63" t="str">
        <x:v>Nenhuma avaliação acessada; candidatura não iniciada</x:v>
      </x:c>
      <x:c r="H193" s="63" t="str">
        <x:v>Revisar somente após consolidar Node.js, Drizzle ORM, BullMQ/Redis e pnpm workspaces/monorepo. Não apresentar esses requisitos como experiência atual.</x:v>
      </x:c>
      <x:c r="I193" s="63" t="str">
        <x:v>02/10/2026</x:v>
      </x:c>
      <x:c r="J193" s="63" t="str">
        <x:v>Vaga remota de alto interesse em IA, educação e gamificação, mas a descrição trata Node.js, Drizzle, BullMQ/Redis e monorepo como obrigatórios. Não enviada para evitar resposta imprecisa.</x:v>
      </x:c>
      <x:c r="K193" s="63" t="str">
        <x:v>Não — gaps obrigatórios atuais</x:v>
      </x:c>
      <x:c r="L193" t="n">
        <x:f>IF(LEFT(K193,3)="Sim",1,0)+IF(LEFT(K193,6)="Portal",1,0)</x:f>
        <x:v>0</x:v>
      </x:c>
      <x:c r="M193" t="n">
        <x:f>IF(LEFT(A193,8)="Pendente",1,0)</x:f>
        <x:v>1</x:v>
      </x:c>
    </x:row>
    <x:row r="194" ht="79.19999694824219" hidden="0" customHeight="1">
      <x:c r="A194" s="63" t="str">
        <x:v>Pendente — requisitos obrigatórios</x:v>
      </x:c>
      <x:c r="B194" s="63" t="str">
        <x:v>Neohype Digital</x:v>
      </x:c>
      <x:c r="C194" s="63" t="str">
        <x:v>Desenvolvedor Full Stack (C# | .NET)</x:v>
      </x:c>
      <x:c r="D194" s="63" t="str">
        <x:v>Desenvolvimento full stack</x:v>
      </x:c>
      <x:c r="E194" s="63" t="str">
        <x:v>São Paulo/SP; híbrido; efetivo; remuneração não divulgada</x:v>
      </x:c>
      <x:c r="F194" s="63" t="str">
        <x:v>Acessar na plataforma (link privado removido)</x:v>
      </x:c>
      <x:c r="G194" s="63" t="str">
        <x:v>Nenhuma avaliação iniciada; formulário ainda não enviado</x:v>
      </x:c>
      <x:c r="H194" s="63" t="str">
        <x:v>Não enviar sem evidência de uso profissional nos períodos exigidos. O formulário só oferece 1–2, 3–4 ou mais de 5 anos para C#/.NET, React/Angular, SQL Server e RabbitMQ/Hangfire; não há opção para ausência ou período inferior a um ano.</x:v>
      </x:c>
      <x:c r="I194" s="63" t="str">
        <x:v>02/10/2026</x:v>
      </x:c>
      <x:c r="J194" s="63" t="str">
        <x:v>A vaga é híbrida e tem aderência em .NET, React, PostgreSQL, APIs, Git, testes, Docker e cloud, mas trata SQL Server, RabbitMQ e Hangfire como experiência obrigatória. O formulário também não permite declarar experiência inferior a um ano, portanto a candidatura não foi enviada nem recebeu resposta imprecisa.</x:v>
      </x:c>
      <x:c r="K194" s="63" t="str">
        <x:v>Não — requisitos obrigatórios sem resposta factual disponível</x:v>
      </x:c>
      <x:c r="L194" t="n">
        <x:f>IF(LEFT(K194,3)="Sim",1,0)+IF(LEFT(K194,6)="Portal",1,0)</x:f>
        <x:v>0</x:v>
      </x:c>
      <x:c r="M194" t="n">
        <x:f>IF(LEFT(A194,8)="Pendente",1,0)</x:f>
        <x:v>1</x:v>
      </x:c>
    </x:row>
    <x:row r="195" ht="52.79999923706055" hidden="0" customHeight="1">
      <x:c r="A195" s="63" t="str">
        <x:v>Encerrada — inscrições fechadas</x:v>
      </x:c>
      <x:c r="B195" s="63" t="str">
        <x:v>Tokio Marine</x:v>
      </x:c>
      <x:c r="C195" s="63" t="str">
        <x:v>Analista de Dados Júnior (Precificação e Inteligência de Negócios)</x:v>
      </x:c>
      <x:c r="D195" s="63" t="str">
        <x:v>Dados, ETL e analytics</x:v>
      </x:c>
      <x:c r="E195" s="63" t="str">
        <x:v>São Paulo/SP; híbrido; efetivo; remuneração não divulgada</x:v>
      </x:c>
      <x:c r="F195" s="63" t="str">
        <x:v>https://tokiomarine.gupy.io/jobs/12024259</x:v>
      </x:c>
      <x:c r="G195" s="63" t="str">
        <x:v>Não iniciada; etapas futuras listavam fit cultural e testes complementares</x:v>
      </x:c>
      <x:c r="H195" s="63" t="str">
        <x:v>Não reaplicar nesta publicação. Monitorar novas vagas júnior de dados/analytics da Tokio Marine.</x:v>
      </x:c>
      <x:c r="I195" s="63" t="str">
        <x:v>02/10/2026</x:v>
      </x:c>
      <x:c r="J195" s="63" t="str">
        <x:v>O anúncio foi revalidado no portal oficial e as inscrições já estavam encerradas. A descrição era aderente em SQL, Python, ETL, modelagem e automação; Power BI, Airflow e domínio de seguros eram pontos de desenvolvimento.</x:v>
      </x:c>
      <x:c r="K195" s="63" t="str">
        <x:v>Não aplicável — vaga encerrada na conferência de 02/10</x:v>
      </x:c>
      <x:c r="L195" t="n">
        <x:f>IF(LEFT(K195,3)="Sim",1,0)+IF(LEFT(K195,6)="Portal",1,0)</x:f>
        <x:v>0</x:v>
      </x:c>
      <x:c r="M195" t="n">
        <x:f>IF(LEFT(A195,8)="Pendente",1,0)</x:f>
        <x:v>0</x:v>
      </x:c>
    </x:row>
    <x:row r="196" ht="79.19999694824219" hidden="0" customHeight="1">
      <x:c r="A196" s="63" t="str">
        <x:v>Pendente — formulário e requisitos</x:v>
      </x:c>
      <x:c r="B196" s="63" t="str">
        <x:v>MOST Specialist Technologies</x:v>
      </x:c>
      <x:c r="C196" s="63" t="str">
        <x:v>Full Stack Developer (Python) — Hiperautomação</x:v>
      </x:c>
      <x:c r="D196" s="63" t="str">
        <x:v>Python, automação e desenvolvimento full stack</x:v>
      </x:c>
      <x:c r="E196" s="63" t="str">
        <x:v>Remoto; estágio 6 horas/dia; remuneração divulgada no Indeed: R$ 4.000/mês</x:v>
      </x:c>
      <x:c r="F196" s="63" t="str">
        <x:v>https://br.indeed.com/viewjob?jk=8056a8178617f40a</x:v>
      </x:c>
      <x:c r="G196" s="63" t="str">
        <x:v>Desafio técnico posterior e avaliação psicológica são previstos — realizar pessoalmente se a candidatura avançar</x:v>
      </x:c>
      <x:c r="H196" s="63" t="str">
        <x:v>Formulário oficial encontrado e revisado. Só retomar se houver como anexar o currículo e preencher a matriz técnica com evidência factual; ela exige nível para tecnologias como Django, multithread e MongoDB sem opção de 'sem experiência'.</x:v>
      </x:c>
      <x:c r="I196" s="63" t="str">
        <x:v>02/10/2026</x:v>
      </x:c>
      <x:c r="J196" s="63" t="str">
        <x:v>O site oficial confirma trabalho remoto e estágio de 6 horas com bolsa de R$ 4.000. O formulário oficial requer upload do currículo e grade obrigatória de tecnologias; ele não oferece resposta para ausência de experiência em Django, multithread e MongoDB. Não foi enviado para evitar declaração imprecisa.</x:v>
      </x:c>
      <x:c r="K196" s="63" t="str">
        <x:v>Não — formulário exige upload e níveis sem alternativa factual para todos os itens</x:v>
      </x:c>
      <x:c r="L196" t="n">
        <x:f>IF(LEFT(K196,3)="Sim",1,0)+IF(LEFT(K196,6)="Portal",1,0)</x:f>
        <x:v>0</x:v>
      </x:c>
      <x:c r="M196" t="n">
        <x:f>IF(LEFT(A196,8)="Pendente",1,0)</x:f>
        <x:v>1</x:v>
      </x:c>
    </x:row>
    <x:row r="197" ht="52.79999923706055" hidden="0" customHeight="1">
      <x:c r="A197" s="63" t="str">
        <x:v>Enviada</x:v>
      </x:c>
      <x:c r="B197" s="63" t="str">
        <x:v>C6 Bank</x:v>
      </x:c>
      <x:c r="C197" s="63" t="str">
        <x:v>Analista de Operações Júnior | Sustentação RPA (COE RPA)</x:v>
      </x:c>
      <x:c r="D197" s="63" t="str">
        <x:v>Automação e operações técnicas</x:v>
      </x:c>
      <x:c r="E197" s="63" t="str">
        <x:v>São Paulo/SP; modalidade não divulgada</x:v>
      </x:c>
      <x:c r="F197" s="63" t="str">
        <x:v>https://job-boards.greenhouse.io/c6bank/jobs/4737668005</x:v>
      </x:c>
      <x:c r="G197" s="63" t="str">
        <x:v>Nenhuma avaliação iniciada; acompanhar e-mail e portal</x:v>
      </x:c>
      <x:c r="H197" s="63" t="str">
        <x:v>Acompanhar e-mail e MyGreenhouse. Se houver avaliação, entrevista ou teste, realizar pessoalmente.</x:v>
      </x:c>
      <x:c r="I197" s="63" t="str">
        <x:v>03/10/2026</x:v>
      </x:c>
      <x:c r="J197" s="63" t="str">
        <x:v>Candidatura confirmada no Greenhouse. A apresentação foi adaptada com automação, APIs, Python, SQL, integrações, Docker e experiência full stack factual; RPA corporativo foi tratado como frente de aprofundamento.</x:v>
      </x:c>
      <x:c r="K197" s="63" t="str">
        <x:v>Sim — confirmação Greenhouse 03/10</x:v>
      </x:c>
      <x:c r="L197" t="n">
        <x:f>IF(LEFT(K197,3)="Sim",1,0)+IF(LEFT(K197,6)="Portal",1,0)</x:f>
        <x:v>1</x:v>
      </x:c>
      <x:c r="M197" t="n">
        <x:f>IF(LEFT(A197,8)="Pendente",1,0)</x:f>
        <x:v>0</x:v>
      </x:c>
    </x:row>
    <x:row r="198" ht="66" hidden="0" customHeight="1">
      <x:c r="A198" s="63" t="str">
        <x:v>Enviada</x:v>
      </x:c>
      <x:c r="B198" s="63" t="str">
        <x:v>iFood</x:v>
      </x:c>
      <x:c r="C198" s="63" t="str">
        <x:v>Analista de Negócios Pleno</x:v>
      </x:c>
      <x:c r="D198" s="63" t="str">
        <x:v>Negócios, dados e tecnologia</x:v>
      </x:c>
      <x:c r="E198" s="63" t="str">
        <x:v>Osasco/SP; modalidade conforme anúncio</x:v>
      </x:c>
      <x:c r="F198" s="63" t="str">
        <x:v>https://job-boards.greenhouse.io/ifoodcarreiras/jobs/8696675002</x:v>
      </x:c>
      <x:c r="G198" s="63" t="str">
        <x:v>Nenhuma avaliação iniciada; acompanhar e-mail e portal</x:v>
      </x:c>
      <x:c r="H198" s="63" t="str">
        <x:v>Acompanhar e-mail e Greenhouse. Preparar exemplos factuais de B2B, melhoria de processos, dados, automação e desenvolvimento full stack.</x:v>
      </x:c>
      <x:c r="I198" s="63" t="str">
        <x:v>03/10/2026</x:v>
      </x:c>
      <x:c r="J198" s="63" t="str">
        <x:v>Candidatura confirmada no Greenhouse com texto personalizado. Foram conectados 12 anos de contexto B2B e a experiência profissional full stack, sem transformar a trajetória comercial em experiência de engenharia não comprovada.</x:v>
      </x:c>
      <x:c r="K198" s="63" t="str">
        <x:v>Sim — confirmação Greenhouse 03/10</x:v>
      </x:c>
      <x:c r="L198" t="n">
        <x:f>IF(LEFT(K198,3)="Sim",1,0)+IF(LEFT(K198,6)="Portal",1,0)</x:f>
        <x:v>1</x:v>
      </x:c>
      <x:c r="M198" t="n">
        <x:f>IF(LEFT(A198,8)="Pendente",1,0)</x:f>
        <x:v>0</x:v>
      </x:c>
    </x:row>
    <x:row r="199" ht="92.4000015258789" hidden="0" customHeight="1">
      <x:c r="A199" s="63" t="str">
        <x:v>Enviada</x:v>
      </x:c>
      <x:c r="B199" s="63" t="str">
        <x:v>Banco Daycoval</x:v>
      </x:c>
      <x:c r="C199" s="63" t="str">
        <x:v>Analista Operacional Júnior (Operações de Crédito Consignado)</x:v>
      </x:c>
      <x:c r="D199" s="63" t="str">
        <x:v>Operações de crédito, dados e automação</x:v>
      </x:c>
      <x:c r="E199" s="63" t="str">
        <x:v>São Paulo/SP (Paulista); presencial; efetivo</x:v>
      </x:c>
      <x:c r="F199" s="63" t="str">
        <x:v>Acessar na plataforma (link privado removido)</x:v>
      </x:c>
      <x:c r="G199" s="63" t="str">
        <x:v>Nenhuma avaliação iniciada; acompanhar e-mail e portal</x:v>
      </x:c>
      <x:c r="H199" s="63" t="str">
        <x:v>Acompanhar e-mail e Gupy. Se houver avaliação, entrevista ou teste, realizar pessoalmente.</x:v>
      </x:c>
      <x:c r="I199" s="63" t="str">
        <x:v>03/10/2026</x:v>
      </x:c>
      <x:c r="J199" s="63" t="str">
        <x:v>Candidatura Gupy finalizada com apresentação personalizada. Foi declarada pretensão de R$ 5.000 CLT, negociável conforme responsabilidades e benefícios, e disponibilidade presencial na Paulista. O texto destacou B2B, Python, SQL, APIs, automação, Excel avançado e vontade de aprofundar crédito consignado sem alegar experiência bancária prévia.</x:v>
      </x:c>
      <x:c r="K199" s="63" t="str">
        <x:v>Sim — candidatura finalizada na Gupy 03/10</x:v>
      </x:c>
      <x:c r="L199" t="n">
        <x:f>IF(LEFT(K199,3)="Sim",1,0)+IF(LEFT(K199,6)="Portal",1,0)</x:f>
        <x:v>1</x:v>
      </x:c>
      <x:c r="M199" t="n">
        <x:f>IF(LEFT(A199,8)="Pendente",1,0)</x:f>
        <x:v>0</x:v>
      </x:c>
    </x:row>
    <x:row r="200">
      <x:c r="A200" s="32" t="str">
        <x:v>Nota: ‘Sim’ significa recibo de e-mail localizado; ‘Portal’ significa confirmação/etapa verificada no portal. E-mails de inscrição iniciada não são tratados como candidatura enviada. Não há dados pessoais sensíveis nesta planilha.</x:v>
      </x:c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</x:row>
  </x:sheetData>
  <x:mergeCells>
    <x:mergeCell ref="A200:K200"/>
  </x:mergeCells>
  <x:conditionalFormatting sqref="A10:A108">
    <x:cfRule type="containsText" dxfId="0" priority="1" operator="containsText" text="Enviada"/>
    <x:cfRule type="containsText" dxfId="1" priority="2" operator="containsText" text="Já enviada"/>
    <x:cfRule type="containsText" dxfId="2" priority="3" operator="containsText" text="Concluída"/>
    <x:cfRule type="containsText" dxfId="3" priority="4" operator="containsText" text="Pendente"/>
    <x:cfRule type="containsText" dxfId="4" priority="5" operator="containsText" text="Excluída"/>
    <x:cfRule type="containsText" dxfId="5" priority="6" operator="containsText" text="Encerrada"/>
  </x:conditionalFormatting>
  <x:conditionalFormatting sqref="K10:K108">
    <x:cfRule type="containsText" dxfId="6" priority="7" operator="containsText" text="Sim"/>
    <x:cfRule type="containsText" dxfId="7" priority="8" operator="containsText" text="Portal"/>
    <x:cfRule type="containsText" dxfId="8" priority="9" operator="containsText" text="não finalizada"/>
    <x:cfRule type="containsText" dxfId="9" priority="10" operator="containsText" text="Não aplicável"/>
  </x:conditionalFormatting>
  <x:pageMargins left="0.7" right="0.7" top="0.75" bottom="0.75" header="0.3" footer="0.3"/>
  <x:tableParts count="1">
    <x:tablePart xmlns:r="http://schemas.openxmlformats.org/officeDocument/2006/relationships" r:id="R5c17179dcfa744a6"/>
  </x:tableParts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7" hidden="0" customWidth="1"/>
    <x:col min="4" max="4" width="27" hidden="0" customWidth="1"/>
    <x:col min="5" max="5" width="65" hidden="0" customWidth="1"/>
    <x:col min="6" max="6" width="15" hidden="0" customWidth="1"/>
    <x:col min="7" max="7" width="47" hidden="0" customWidth="1"/>
  </x:cols>
  <x:sheetData>
    <x:row r="2" ht="26" customHeight="1">
      <x:c r="A2" s="1" t="str">
        <x:v>Log de auditoria e ações</x:v>
      </x:c>
    </x:row>
    <x:row r="3">
      <x:c r="A3" s="2" t="str">
        <x:v>Registro cronológico da reconciliação de e-mails, decisões de elegibilidade e etapas concluídas. Versão pública: dados pessoais e links privados removidos.</x:v>
      </x:c>
    </x:row>
    <x:row r="5" ht="28" customHeight="1">
      <x:c r="A5" s="36" t="str">
        <x:v>Data</x:v>
      </x:c>
      <x:c r="B5" s="36" t="str">
        <x:v>Fonte</x:v>
      </x:c>
      <x:c r="C5" s="36" t="str">
        <x:v>Processo / vaga</x:v>
      </x:c>
      <x:c r="D5" s="36" t="str">
        <x:v>Ação</x:v>
      </x:c>
      <x:c r="E5" s="36" t="str">
        <x:v>Resultado</x:v>
      </x:c>
      <x:c r="F5" s="36" t="str">
        <x:v>Status</x:v>
      </x:c>
      <x:c r="G5" s="36" t="str">
        <x:v>Próximo passo / observação</x:v>
      </x:c>
    </x:row>
    <x:row r="6" ht="56" customHeight="1">
      <x:c r="A6" s="59" t="str">
        <x:v>19/09/2026</x:v>
      </x:c>
      <x:c r="B6" s="55" t="str">
        <x:v>Gmail — Gupy</x:v>
      </x:c>
      <x:c r="C6" s="55" t="str">
        <x:v>33 conversas de 17–19/09</x:v>
      </x:c>
      <x:c r="D6" s="55" t="str">
        <x:v>Reclassificação</x:v>
      </x:c>
      <x:c r="E6" s="55" t="str">
        <x:v>‘Inscrição recebida’ com ‘ainda não finalizou’ = cadastro iniciado, não candidatura enviada.</x:v>
      </x:c>
      <x:c r="F6" s="62" t="str">
        <x:v>Concluído</x:v>
      </x:c>
      <x:c r="G6" s="56" t="str">
        <x:v>Regra aplicada na coluna E-mail confirmado.</x:v>
      </x:c>
    </x:row>
    <x:row r="7" ht="56" customHeight="1">
      <x:c r="A7" s="60" t="str">
        <x:v>19/09/2026</x:v>
      </x:c>
      <x:c r="B7" s="18" t="str">
        <x:v>Gmail — não Gupy</x:v>
      </x:c>
      <x:c r="C7" s="18" t="str">
        <x:v>Recibos de portais e empresas</x:v>
      </x:c>
      <x:c r="D7" s="18" t="str">
        <x:v>Reconciliação</x:v>
      </x:c>
      <x:c r="E7" s="18" t="str">
        <x:v>Recibos e etapas vinculados somente quando título ou contagem permitiram evidência suficiente.</x:v>
      </x:c>
      <x:c r="F7" s="19" t="str">
        <x:v>Concluído</x:v>
      </x:c>
      <x:c r="G7" s="24" t="str">
        <x:v>Não foram inventados títulos em recibos genéricos.</x:v>
      </x:c>
    </x:row>
    <x:row r="8" ht="56" customHeight="1">
      <x:c r="A8" s="60" t="str">
        <x:v>19/09/2026</x:v>
      </x:c>
      <x:c r="B8" s="18" t="str">
        <x:v>Gupy</x:v>
      </x:c>
      <x:c r="C8" s="18" t="str">
        <x:v>Prothera — Full Stack JR</x:v>
      </x:c>
      <x:c r="D8" s="18" t="str">
        <x:v>Mapeamento comportamental</x:v>
      </x:c>
      <x:c r="E8" s="18" t="str">
        <x:v>Resultado genuíno do mesmo dia reaproveitado pela própria plataforma.</x:v>
      </x:c>
      <x:c r="F8" s="19" t="str">
        <x:v>Concluído</x:v>
      </x:c>
      <x:c r="G8" s="24" t="str">
        <x:v>Nenhum áudio/vídeo na etapa; próxima fase de vídeo bloqueada.</x:v>
      </x:c>
    </x:row>
    <x:row r="9" ht="56" customHeight="1">
      <x:c r="A9" s="60" t="str">
        <x:v>19/09/2026</x:v>
      </x:c>
      <x:c r="B9" s="18" t="str">
        <x:v>Gupy</x:v>
      </x:c>
      <x:c r="C9" s="18" t="str">
        <x:v>Eletromídia — Full-Stack Pleno IA</x:v>
      </x:c>
      <x:c r="D9" s="18" t="str">
        <x:v>Questionário de Compliance</x:v>
      </x:c>
      <x:c r="E9" s="18" t="str">
        <x:v>Nove respostas escritas factuais enviadas; sem criar dados cadastrais, societários ou de conflito.</x:v>
      </x:c>
      <x:c r="F9" s="19" t="str">
        <x:v>Concluído</x:v>
      </x:c>
      <x:c r="G9" s="24" t="str">
        <x:v>Sem audiovisual; aguardando Bate-papo R&amp;S.</x:v>
      </x:c>
    </x:row>
    <x:row r="10" ht="56" customHeight="1">
      <x:c r="A10" s="60" t="str">
        <x:v>19/09/2026</x:v>
      </x:c>
      <x:c r="B10" s="18" t="str">
        <x:v>Gupy</x:v>
      </x:c>
      <x:c r="C10" s="18" t="str">
        <x:v>Confitec — SQL Server Júnior</x:v>
      </x:c>
      <x:c r="D10" s="18" t="str">
        <x:v>Raciocínio lógico</x:v>
      </x:c>
      <x:c r="E10" s="18" t="str">
        <x:v>Teste escrito finalizado; resultado exibido pela plataforma: 100/100.</x:v>
      </x:c>
      <x:c r="F10" s="19" t="str">
        <x:v>Concluído</x:v>
      </x:c>
      <x:c r="G10" s="24" t="str">
        <x:v>Próxima etapa: Entrevista RH.</x:v>
      </x:c>
    </x:row>
    <x:row r="11" ht="56" customHeight="1">
      <x:c r="A11" s="60" t="str">
        <x:v>19/09/2026</x:v>
      </x:c>
      <x:c r="B11" s="18" t="str">
        <x:v>Gupy</x:v>
      </x:c>
      <x:c r="C11" s="18" t="str">
        <x:v>Sicredi — Assistente de BI</x:v>
      </x:c>
      <x:c r="D11" s="18" t="str">
        <x:v>Raciocínio lógico</x:v>
      </x:c>
      <x:c r="E11" s="18" t="str">
        <x:v>Teste escrito finalizado; resultado exibido pela plataforma: 100/100.</x:v>
      </x:c>
      <x:c r="F11" s="19" t="str">
        <x:v>Concluído</x:v>
      </x:c>
      <x:c r="G11" s="24" t="str">
        <x:v>Próxima etapa: Entrevista — Gestão de Pessoas.</x:v>
      </x:c>
    </x:row>
    <x:row r="12" ht="56" customHeight="1">
      <x:c r="A12" s="60" t="str">
        <x:v>19/09/2026</x:v>
      </x:c>
      <x:c r="B12" s="18" t="str">
        <x:v>Gupy</x:v>
      </x:c>
      <x:c r="C12" s="18" t="str">
        <x:v>Associação Mário Penna — Analista de Sistemas Júnior</x:v>
      </x:c>
      <x:c r="D12" s="18" t="str">
        <x:v>Avaliação comportamental</x:v>
      </x:c>
      <x:c r="E12" s="18" t="str">
        <x:v>Resultado genuíno do mesmo dia reaproveitado pela própria plataforma.</x:v>
      </x:c>
      <x:c r="F12" s="19" t="str">
        <x:v>Concluído</x:v>
      </x:c>
      <x:c r="G12" s="24" t="str">
        <x:v>Sem audiovisual; aguardando Entrevista com RH.</x:v>
      </x:c>
    </x:row>
    <x:row r="13" ht="56" customHeight="1">
      <x:c r="A13" s="60" t="str">
        <x:v>19/09/2026</x:v>
      </x:c>
      <x:c r="B13" s="18" t="str">
        <x:v>Gmail — Gupy</x:v>
      </x:c>
      <x:c r="C13" s="18" t="str">
        <x:v>Quality Digital — Técnico de Suporte Júnior</x:v>
      </x:c>
      <x:c r="D13" s="18" t="str">
        <x:v>Feedback</x:v>
      </x:c>
      <x:c r="E13" s="18" t="str">
        <x:v>E-mail de 18/09 informa que a candidatura não seguirá após a triagem.</x:v>
      </x:c>
      <x:c r="F13" s="19" t="str">
        <x:v>Encerrado</x:v>
      </x:c>
      <x:c r="G13" s="24" t="str">
        <x:v>Vaga também está fora do escopo de suporte.</x:v>
      </x:c>
    </x:row>
    <x:row r="14" ht="56" customHeight="1">
      <x:c r="A14" s="60" t="str">
        <x:v>19/09/2026</x:v>
      </x:c>
      <x:c r="B14" s="18" t="str">
        <x:v>Gupy</x:v>
      </x:c>
      <x:c r="C14" s="18" t="str">
        <x:v>Pet Society — Analista de Sistemas Junior</x:v>
      </x:c>
      <x:c r="D14" s="18" t="str">
        <x:v>Revisão de descrição</x:v>
      </x:c>
      <x:c r="E14" s="18" t="str">
        <x:v>Exige suporte, usuários, incidentes, ERP, chamados e homologação.</x:v>
      </x:c>
      <x:c r="F14" s="19" t="str">
        <x:v>Excluído</x:v>
      </x:c>
      <x:c r="G14" s="24" t="str">
        <x:v>Fora do foco banco/fintech e de suporte.</x:v>
      </x:c>
    </x:row>
    <x:row r="15" ht="56" customHeight="1">
      <x:c r="A15" s="60" t="str">
        <x:v>19/09/2026</x:v>
      </x:c>
      <x:c r="B15" s="18" t="str">
        <x:v>Gupy</x:v>
      </x:c>
      <x:c r="C15" s="18" t="str">
        <x:v>Valid — Analista de DevOps Pleno</x:v>
      </x:c>
      <x:c r="D15" s="18" t="str">
        <x:v>Revisão de requisitos</x:v>
      </x:c>
      <x:c r="E15" s="18" t="str">
        <x:v>Kubernetes, Helm, Terraform, GCP intermediário, redes e DevSecOps não são comprovados pelo perfil.</x:v>
      </x:c>
      <x:c r="F15" s="19" t="str">
        <x:v>Pendente</x:v>
      </x:c>
      <x:c r="G15" s="24" t="str">
        <x:v>Não finalizar sem alegar experiência inexistente.</x:v>
      </x:c>
    </x:row>
    <x:row r="16" ht="56" customHeight="1">
      <x:c r="A16" s="60" t="str">
        <x:v>19/09/2026</x:v>
      </x:c>
      <x:c r="B16" s="18" t="str">
        <x:v>Gmail</x:v>
      </x:c>
      <x:c r="C16" s="18" t="str">
        <x:v>Sezzle — AI Engineering Intern</x:v>
      </x:c>
      <x:c r="D16" s="18" t="str">
        <x:v>Atualização de candidatura</x:v>
      </x:c>
      <x:c r="E16" s="18" t="str">
        <x:v>Empresa colocou a candidatura em espera; não solicitou ação.</x:v>
      </x:c>
      <x:c r="F16" s="19" t="str">
        <x:v>Em espera</x:v>
      </x:c>
      <x:c r="G16" s="24" t="str">
        <x:v>Acompanhar retorno.</x:v>
      </x:c>
    </x:row>
    <x:row r="17" ht="56" customHeight="1">
      <x:c r="A17" s="60" t="str">
        <x:v>19/09/2026</x:v>
      </x:c>
      <x:c r="B17" s="18" t="str">
        <x:v>Gmail</x:v>
      </x:c>
      <x:c r="C17" s="18" t="str">
        <x:v>Anyone AI — Software Engineer Project</x:v>
      </x:c>
      <x:c r="D17" s="18" t="str">
        <x:v>Atualização de candidatura</x:v>
      </x:c>
      <x:c r="E17" s="18" t="str">
        <x:v>E-mail informa aprovação; convite de Zoom/aceite permanece para decisão pessoal.</x:v>
      </x:c>
      <x:c r="F17" s="19" t="str">
        <x:v>Aprovada</x:v>
      </x:c>
      <x:c r="G17" s="24" t="str">
        <x:v>Não aceitar sessão audiovisual automaticamente.</x:v>
      </x:c>
    </x:row>
    <x:row r="18" ht="56" customHeight="1">
      <x:c r="A18" s="60" t="str">
        <x:v>19/09/2026</x:v>
      </x:c>
      <x:c r="B18" s="18" t="str">
        <x:v>Gmail</x:v>
      </x:c>
      <x:c r="C18" s="18" t="str">
        <x:v>Agi/Agibank — Open Finance</x:v>
      </x:c>
      <x:c r="D18" s="18" t="str">
        <x:v>Teste Cultural</x:v>
      </x:c>
      <x:c r="E18" s="18" t="str">
        <x:v>E-mail confirma candidatura e exige câmera ligada com compartilhamento de tela.</x:v>
      </x:c>
      <x:c r="F18" s="19" t="str">
        <x:v>Bloqueado</x:v>
      </x:c>
      <x:c r="G18" s="24" t="str">
        <x:v>Não realizar pelo protocolo audiovisual.</x:v>
      </x:c>
    </x:row>
    <x:row r="19" ht="56" customHeight="1">
      <x:c r="A19" s="60" t="str">
        <x:v>19/09/2026</x:v>
      </x:c>
      <x:c r="B19" s="18" t="str">
        <x:v>BairesDev</x:v>
      </x:c>
      <x:c r="C19" s="18" t="str">
        <x:v>Junior .NET Developer — Remote</x:v>
      </x:c>
      <x:c r="D19" s="18" t="str">
        <x:v>Triagem de testes C#</x:v>
      </x:c>
      <x:c r="E19" s="18" t="str">
        <x:v>A lista mostrou C# Coding Challenge (1 h), C# Proficiency Test (estimativa de 9 min) e opções VB.NET. A tela de C# Proficiency proíbe IA e qualquer ajuda externa. O aviso foi fechado por ‘Go back’ antes de ‘Continue’; não houve questão, cronômetro ou resultado.</x:v>
      </x:c>
      <x:c r="F19" s="19" t="str">
        <x:v>Pendente</x:v>
      </x:c>
      <x:c r="G19" s="24" t="str">
        <x:v>Candidato pode realizar pessoalmente as etapas C#; não iniciar VB.NET sem experiência factual nem avaliação com assistência externa.</x:v>
      </x:c>
    </x:row>
    <x:row r="20" ht="56" customHeight="1">
      <x:c r="A20" s="60" t="str">
        <x:v>20/09/2026</x:v>
      </x:c>
      <x:c r="B20" s="18" t="str">
        <x:v>Gupy — Stefanini</x:v>
      </x:c>
      <x:c r="C20" s="18" t="str">
        <x:v>Desenvolvedor Full Stack JR (Java/Angular)</x:v>
      </x:c>
      <x:c r="D20" s="18" t="str">
        <x:v>Candidatura personalizada</x:v>
      </x:c>
      <x:c r="E20" s="18" t="str">
        <x:v>Portal confirmou ‘Candidatura finalizada’. Respostas e apresentação foram adaptadas ao papel sem criar experiência profissional inexistente.</x:v>
      </x:c>
      <x:c r="F20" s="19" t="str">
        <x:v>Concluído</x:v>
      </x:c>
      <x:c r="G20" s="24" t="str">
        <x:v>Próxima etapa: ‘Entrevista Inteligente’; validar o formato antes de iniciar.</x:v>
      </x:c>
    </x:row>
    <x:row r="21" ht="56" customHeight="1">
      <x:c r="A21" s="60" t="str">
        <x:v>20/09/2026</x:v>
      </x:c>
      <x:c r="B21" s="18" t="str">
        <x:v>Gupy — Gaudium</x:v>
      </x:c>
      <x:c r="C21" s="18" t="str">
        <x:v>Desenvolvedor Backend</x:v>
      </x:c>
      <x:c r="D21" s="18" t="str">
        <x:v>Revisão de requisitos</x:v>
      </x:c>
      <x:c r="E21" s="18" t="str">
        <x:v>Vaga remota CLT com salário divulgado, mas exige cinco anos de backend PHP/Go e sistemas críticos de alta escala.</x:v>
      </x:c>
      <x:c r="F21" s="19" t="str">
        <x:v>Excluído</x:v>
      </x:c>
      <x:c r="G21" s="24" t="str">
        <x:v>Cadastro não foi finalizado; não alegar senioridade inexistente.</x:v>
      </x:c>
    </x:row>
    <x:row r="22" ht="56" customHeight="1">
      <x:c r="A22" s="60" t="str">
        <x:v>20/09/2026</x:v>
      </x:c>
      <x:c r="B22" s="18" t="str">
        <x:v>Gupy — Minsait</x:v>
      </x:c>
      <x:c r="C22" s="18" t="str">
        <x:v>Desenvolvedor Java Junior</x:v>
      </x:c>
      <x:c r="D22" s="18" t="str">
        <x:v>Validação de etapa</x:v>
      </x:c>
      <x:c r="E22" s="18" t="str">
        <x:v>Formulário exige consentimento para entrevista técnica gravada com apoio de IA.</x:v>
      </x:c>
      <x:c r="F22" s="19" t="str">
        <x:v>Bloqueado</x:v>
      </x:c>
      <x:c r="G22" s="24" t="str">
        <x:v>Não iniciar pelo protocolo audiovisual; rascunho não enviado.</x:v>
      </x:c>
    </x:row>
    <x:row r="23" ht="56" customHeight="1">
      <x:c r="A23" s="60" t="str">
        <x:v>20/09/2026</x:v>
      </x:c>
      <x:c r="B23" s="18" t="str">
        <x:v>Gupy — Tokio Marine</x:v>
      </x:c>
      <x:c r="C23" s="18" t="str">
        <x:v>Analista de Sistemas Júnior — Inteligência Artificial</x:v>
      </x:c>
      <x:c r="D23" s="18" t="str">
        <x:v>Pré-revisão</x:v>
      </x:c>
      <x:c r="E23" s="18" t="str">
        <x:v>Vaga compatível: formação em andamento aceita, Python/Java básico, inglês intermediário e projetos acadêmicos de IA. Formulário pede histórico salarial e pretensão.</x:v>
      </x:c>
      <x:c r="F23" s="19" t="str">
        <x:v>Pendente</x:v>
      </x:c>
      <x:c r="G23" s="24" t="str">
        <x:v>Aguardar autorização específica para transmitir dados salariais à empresa; depois preencher e revisar.</x:v>
      </x:c>
    </x:row>
    <x:row r="24" ht="56" customHeight="1">
      <x:c r="A24" s="60" t="str">
        <x:v>20/09/2026</x:v>
      </x:c>
      <x:c r="B24" s="18" t="str">
        <x:v>Gupy — PagBank</x:v>
      </x:c>
      <x:c r="C24" s="18" t="str">
        <x:v>Cientista de Dados Jr.</x:v>
      </x:c>
      <x:c r="D24" s="18" t="str">
        <x:v>Pré-revisão</x:v>
      </x:c>
      <x:c r="E24" s="18" t="str">
        <x:v>Vaga compatível em Python/SQL/dados, mas o formulário pede documentação, filiação, naturalidade e dados salariais.</x:v>
      </x:c>
      <x:c r="F24" s="19" t="str">
        <x:v>Pendente</x:v>
      </x:c>
      <x:c r="G24" s="24" t="str">
        <x:v>Aguardar dados faltantes e autorização específica antes de transmitir informações ao PagBank.</x:v>
      </x:c>
    </x:row>
    <x:row r="25" ht="56" customHeight="1">
      <x:c r="A25" s="60" t="str">
        <x:v>20/09/2026</x:v>
      </x:c>
      <x:c r="B25" s="18" t="str">
        <x:v>Gmail — Gupy</x:v>
      </x:c>
      <x:c r="C25" s="18" t="str">
        <x:v>Auditoria de 37 mensagens recentes</x:v>
      </x:c>
      <x:c r="D25" s="18" t="str">
        <x:v>Reconciliação</x:v>
      </x:c>
      <x:c r="E25" s="18" t="str">
        <x:v>Mensagens de Eletromídia, Grupo SysMap, Confitec, Prothera, Brasilseg, Localiza, Sicredi e demais processos foram confrontadas com o controle. ‘Inscrição recebida’ sem confirmação final continua como cadastro iniciado.</x:v>
      </x:c>
      <x:c r="F25" s="19" t="str">
        <x:v>Concluído</x:v>
      </x:c>
      <x:c r="G25" s="24" t="str">
        <x:v>Projedata ficou listada como pendência audiovisual por exigir vídeo; nenhuma senha ou solicitação de redefinição foi acionada.</x:v>
      </x:c>
    </x:row>
    <x:row r="26" ht="56" customHeight="1">
      <x:c r="A26" s="60" t="str">
        <x:v>20/09/2026</x:v>
      </x:c>
      <x:c r="B26" s="18" t="str">
        <x:v>Indeed</x:v>
      </x:c>
      <x:c r="C26" s="18" t="str">
        <x:v>Fila inicial de bancos, fintechs e consultorias</x:v>
      </x:c>
      <x:c r="D26" s="18" t="str">
        <x:v>Pesquisa de novas vagas</x:v>
      </x:c>
      <x:c r="E26" s="18" t="str">
        <x:v>Foram registradas quatro vagas com aderência técnica inicial: Black Lion, Núclea, Capgemini e Avanade. Nenhuma exibe salário oficial na página encontrada.</x:v>
      </x:c>
      <x:c r="F26" s="19" t="str">
        <x:v>Concluído</x:v>
      </x:c>
      <x:c r="G26" s="24" t="str">
        <x:v>Revalidar cada anúncio e a faixa antes de abrir formulário ou enviar candidatura personalizada.</x:v>
      </x:c>
    </x:row>
    <x:row r="27" ht="56" customHeight="1">
      <x:c r="A27" s="60" t="str">
        <x:v>20/09/2026</x:v>
      </x:c>
      <x:c r="B27" s="18" t="str">
        <x:v>Indeed → Gupy</x:v>
      </x:c>
      <x:c r="C27" s="18" t="str">
        <x:v>Quality Digital — Analista de Dados e IA Jr.</x:v>
      </x:c>
      <x:c r="D27" s="18" t="str">
        <x:v>Validação de vaga</x:v>
      </x:c>
      <x:c r="E27" s="18" t="str">
        <x:v>Vaga remota ativa até 28/09. O escopo é pipelines, bases de dados, IA generativa, métricas de modelos e integrações. A empresa explicita que considera candidaturas sem todos os requisitos.</x:v>
      </x:c>
      <x:c r="F27" s="19" t="str">
        <x:v>Concluído</x:v>
      </x:c>
      <x:c r="G27" s="24" t="str">
        <x:v>Preparar respostas com aderência factual; validar o formato de Talent e gestor antes de qualquer etapa audiovisual.</x:v>
      </x:c>
    </x:row>
    <x:row r="28" ht="76" customHeight="1">
      <x:c r="A28" s="60" t="str">
        <x:v>21/09/2026</x:v>
      </x:c>
      <x:c r="B28" s="18" t="str">
        <x:v>Gupy — Minsait</x:v>
      </x:c>
      <x:c r="C28" s="18" t="str">
        <x:v>Analista de Dados Júnior — Osasco/SP</x:v>
      </x:c>
      <x:c r="D28" s="18" t="str">
        <x:v>Validação de requisito</x:v>
      </x:c>
      <x:c r="E28" s="18" t="str">
        <x:v>O formulário exigiu decisão sobre entrevista técnica gravada para apoio de IA. A resposta foi não autorizar a gravação, conforme a regra de não realizar etapa com áudio/vídeo/gravação.</x:v>
      </x:c>
      <x:c r="F28" s="19" t="str">
        <x:v>Bloqueado</x:v>
      </x:c>
      <x:c r="G28" s="24" t="str">
        <x:v>Não enviar esta candidatura; manter como excluída pelo protocolo audiovisual.</x:v>
      </x:c>
    </x:row>
    <x:row r="29" ht="76" customHeight="1">
      <x:c r="A29" s="60" t="str">
        <x:v>21/09/2026</x:v>
      </x:c>
      <x:c r="B29" s="18" t="str">
        <x:v>Gupy — UOL EdTech</x:v>
      </x:c>
      <x:c r="C29" s="18" t="str">
        <x:v>Engenheiro de Software Jr. (Node.js / React.js)</x:v>
      </x:c>
      <x:c r="D29" s="18" t="str">
        <x:v>Mapeamento de dados obrigatórios</x:v>
      </x:c>
      <x:c r="E29" s="18" t="str">
        <x:v>Formulário retomado e avançado até as perguntas eliminatórias. Exige RG, órgão/UF emissor, mãe, pai, naturalidade, pretensão, vínculo com o grupo, parentesco e disponibilidade híbrida.</x:v>
      </x:c>
      <x:c r="F29" s="19" t="str">
        <x:v>Pendente</x:v>
      </x:c>
      <x:c r="G29" s="24" t="str">
        <x:v>Faltam órgão/UF emissor do RG, nome completo do pai e cidade/UF de nascimento. Não inferir ou inventar os dados.</x:v>
      </x:c>
    </x:row>
    <x:row r="30" ht="76" customHeight="1">
      <x:c r="A30" s="60" t="str">
        <x:v>21/09/2026</x:v>
      </x:c>
      <x:c r="B30" s="18" t="str">
        <x:v>Gupy — Tokio Marine</x:v>
      </x:c>
      <x:c r="C30" s="18" t="str">
        <x:v>Analista de Sistemas Júnior — Inteligência Artificial</x:v>
      </x:c>
      <x:c r="D30" s="18" t="str">
        <x:v>Personalização</x:v>
      </x:c>
      <x:c r="E30" s="18" t="str">
        <x:v>Apresentação individual preenchida com trajetória factual de projetos próprios em Python, APIs, SQL e IA aplicada. Habilidades destacadas: SQL, API REST e Python. Botão final disponível.</x:v>
      </x:c>
      <x:c r="F30" s="19" t="str">
        <x:v>Pendente</x:v>
      </x:c>
      <x:c r="G30" s="24" t="str">
        <x:v>Aguardar confirmação final antes de enviar. Depois, validar formato de fit cultural, RH, testes e gestor antes de iniciar.</x:v>
      </x:c>
    </x:row>
    <x:row r="31" ht="76" customHeight="1">
      <x:c r="A31" s="60" t="str">
        <x:v>21/09/2026</x:v>
      </x:c>
      <x:c r="B31" s="18" t="str">
        <x:v>Gupy — Quality Digital</x:v>
      </x:c>
      <x:c r="C31" s="18" t="str">
        <x:v>Analista de Dados e IA Jr.</x:v>
      </x:c>
      <x:c r="D31" s="18" t="str">
        <x:v>Personalização</x:v>
      </x:c>
      <x:c r="E31" s="18" t="str">
        <x:v>Formulário obrigatório e apresentação individual preenchidos. Respostas deixam explícitas as lacunas em PySpark, ML/visão computacional profissional e MLOps; pretensão declarada de R$4.000 CLT/mês negociável. Habilidades: Python, SQL e CI/CD.</x:v>
      </x:c>
      <x:c r="F31" s="19" t="str">
        <x:v>Pendente</x:v>
      </x:c>
      <x:c r="G31" s="24" t="str">
        <x:v>Aguardar confirmação final antes de enviar. Depois, validar formato de Talent e gestor antes de iniciar.</x:v>
      </x:c>
    </x:row>
    <x:row r="32" ht="76" customHeight="1">
      <x:c r="A32" s="60" t="str">
        <x:v>21/09/2026</x:v>
      </x:c>
      <x:c r="B32" s="18" t="str">
        <x:v>Gupy — Banco Daycoval</x:v>
      </x:c>
      <x:c r="C32" s="18" t="str">
        <x:v>Analista de Operações Bancárias Júnior — Controle e Liquidação</x:v>
      </x:c>
      <x:c r="D32" s="18" t="str">
        <x:v>Retomada e personalização</x:v>
      </x:c>
      <x:c r="E32" s="18" t="str">
        <x:v>Rascunho retomado. As respostas obrigatórias já estavam gravadas e bloqueadas para edição; a apresentação foi adaptada de forma factual ao controle e liquidação. O papel é operações bancárias, não desenvolvimento ou dados.</x:v>
      </x:c>
      <x:c r="F32" s="19" t="str">
        <x:v>Pendente</x:v>
      </x:c>
      <x:c r="G32" s="24" t="str">
        <x:v>Há resposta antiga de Excel como básico, embora o perfil atualizado informe nível avançado. Solicitar decisão antes do envio final; não é possível editar a resposta na etapa atual.</x:v>
      </x:c>
    </x:row>
    <x:row r="33" ht="76" customHeight="1">
      <x:c r="A33" s="60" t="str">
        <x:v>21/09/2026</x:v>
      </x:c>
      <x:c r="B33" s="18" t="str">
        <x:v>Gupy — Tokio Marine</x:v>
      </x:c>
      <x:c r="C33" s="18" t="str">
        <x:v>Analista de Sistemas Júnior — Inteligência Artificial</x:v>
      </x:c>
      <x:c r="D33" s="18" t="str">
        <x:v>Envio final</x:v>
      </x:c>
      <x:c r="E33" s="18" t="str">
        <x:v>A Gupy exibiu ‘Candidatura finalizada!’ após o envio da apresentação personalizada e das habilidades SQL, API REST e Python.</x:v>
      </x:c>
      <x:c r="F33" s="19" t="str">
        <x:v>Concluído</x:v>
      </x:c>
      <x:c r="G33" s="24" t="str">
        <x:v>Acompanhar e-mail e validar o formato de cada etapa antes de iniciar.</x:v>
      </x:c>
    </x:row>
    <x:row r="34" ht="76" customHeight="1">
      <x:c r="A34" s="60" t="str">
        <x:v>21/09/2026</x:v>
      </x:c>
      <x:c r="B34" s="18" t="str">
        <x:v>Gupy — Quality Digital</x:v>
      </x:c>
      <x:c r="C34" s="18" t="str">
        <x:v>Analista de Dados e IA Jr.</x:v>
      </x:c>
      <x:c r="D34" s="18" t="str">
        <x:v>Envio final</x:v>
      </x:c>
      <x:c r="E34" s="18" t="str">
        <x:v>A Gupy exibiu ‘Candidatura finalizada!’ após o envio das respostas factuais e da apresentação personalizada.</x:v>
      </x:c>
      <x:c r="F34" s="19" t="str">
        <x:v>Concluído</x:v>
      </x:c>
      <x:c r="G34" s="24" t="str">
        <x:v>Acompanhar e-mail e validar o formato de Talent, teste e gestor antes de iniciar.</x:v>
      </x:c>
    </x:row>
    <x:row r="35" ht="76" customHeight="1">
      <x:c r="A35" s="60" t="str">
        <x:v>21/09/2026</x:v>
      </x:c>
      <x:c r="B35" s="18" t="str">
        <x:v>Gupy — Unimed Vale do Sinos/RS</x:v>
      </x:c>
      <x:c r="C35" s="18" t="str">
        <x:v>Programador Júnior (RPA)</x:v>
      </x:c>
      <x:c r="D35" s="18" t="str">
        <x:v>Revisão e personalização</x:v>
      </x:c>
      <x:c r="E35" s="18" t="str">
        <x:v>Vaga júnior aceita graduação em TI, lógica, banco de dados e APIs. Formulário preparado com Python, APIs REST e SQL; AutomationEdge e experiência profissional em RPA não foram alegados. Pretensão registrada: R$4.000 CLT/mês, negociável.</x:v>
      </x:c>
      <x:c r="F35" s="19" t="str">
        <x:v>Pendente</x:v>
      </x:c>
      <x:c r="G35" s="24" t="str">
        <x:v>Candidatura personalizada pronta para o envio final; depois, validar o formato das entrevistas.</x:v>
      </x:c>
    </x:row>
    <x:row r="36" ht="76" customHeight="1">
      <x:c r="A36" s="60" t="str">
        <x:v>21/09/2026</x:v>
      </x:c>
      <x:c r="B36" s="18" t="str">
        <x:v>Gmail + Gupy</x:v>
      </x:c>
      <x:c r="C36" s="18" t="str">
        <x:v>31 avisos de finalização</x:v>
      </x:c>
      <x:c r="D36" s="18" t="str">
        <x:v>Reconciliação</x:v>
      </x:c>
      <x:c r="E36" s="18" t="str">
        <x:v>A busca por ‘não finalizada’ ou ‘finalizar candidatura’ trouxe 31 conversas. Avisos repetidos e candidaturas já concluídas foram conciliados; UOL ficou pendente de três dados cadastrais e Pet Society foi excluída por escopo de suporte.</x:v>
      </x:c>
      <x:c r="F36" s="19" t="str">
        <x:v>Concluído</x:v>
      </x:c>
      <x:c r="G36" s="24" t="str">
        <x:v>Manter só a Unimed pronta para envio; não reabrir abas já concluídas ou excluídas.</x:v>
      </x:c>
    </x:row>
    <x:row r="37" ht="76" customHeight="1">
      <x:c r="A37" s="60" t="str">
        <x:v>21/09/2026</x:v>
      </x:c>
      <x:c r="B37" s="18" t="str">
        <x:v>Gmail → Vagas.com</x:v>
      </x:c>
      <x:c r="C37" s="18" t="str">
        <x:v>Programa de Estágio Santander 2026</x:v>
      </x:c>
      <x:c r="D37" s="18" t="str">
        <x:v>Validação de remuneração</x:v>
      </x:c>
      <x:c r="E37" s="18" t="str">
        <x:v>A oportunidade segue acessível, mas não publica faixa. Referências oficiais do Programa Universitário-Empresas indicam bolsa total de cerca de R$1.400, abaixo do piso definido de R$4.000.</x:v>
      </x:c>
      <x:c r="F37" s="19" t="str">
        <x:v>Excluído</x:v>
      </x:c>
      <x:c r="G37" s="24" t="str">
        <x:v>Não enviar enquanto a remuneração-base não atingir o piso.</x:v>
      </x:c>
    </x:row>
    <x:row r="38" ht="76" customHeight="1">
      <x:c r="A38" s="60" t="str">
        <x:v>21/09/2026</x:v>
      </x:c>
      <x:c r="B38" s="18" t="str">
        <x:v>Gupy — #sejaveriter</x:v>
      </x:c>
      <x:c r="C38" s="18" t="str">
        <x:v>.NET Backend Developer Pleno</x:v>
      </x:c>
      <x:c r="D38" s="18" t="str">
        <x:v>Formulário técnico</x:v>
      </x:c>
      <x:c r="E38" s="18" t="str">
        <x:v>As 20 questões de múltipla escolha de .NET (C#) foram respondidas e enviadas dentro do limite de 20 minutos. O portal passou a mostrar progresso 2/7.</x:v>
      </x:c>
      <x:c r="F38" s="19" t="str">
        <x:v>Concluído</x:v>
      </x:c>
      <x:c r="G38" s="24" t="str">
        <x:v>Aguardar Entrevista RH e validar o formato de cada etapa antes de iniciar.</x:v>
      </x:c>
    </x:row>
    <x:row r="39" ht="76" customHeight="1">
      <x:c r="A39" s="60" t="str">
        <x:v>21/09/2026</x:v>
      </x:c>
      <x:c r="B39" s="18" t="str">
        <x:v>Gupy — Unimed Vale do Sinos/RS</x:v>
      </x:c>
      <x:c r="C39" s="18" t="str">
        <x:v>Programador Júnior (RPA)</x:v>
      </x:c>
      <x:c r="D39" s="18" t="str">
        <x:v>Envio final</x:v>
      </x:c>
      <x:c r="E39" s="18" t="str">
        <x:v>A Gupy exibiu 'Candidatura finalizada!' após a confirmação das respostas obrigatórias e da apresentação personalizada com SQL, API REST e Python.</x:v>
      </x:c>
      <x:c r="F39" s="19" t="str">
        <x:v>Concluído</x:v>
      </x:c>
      <x:c r="G39" s="24" t="str">
        <x:v>Acompanhar e-mail; validar o formato de cada entrevista antes de iniciar.</x:v>
      </x:c>
    </x:row>
    <x:row r="40" ht="76" customHeight="1">
      <x:c r="A40" s="60" t="str">
        <x:v>21/09/2026</x:v>
      </x:c>
      <x:c r="B40" s="18" t="str">
        <x:v>Gupy — Rede D'Or</x:v>
      </x:c>
      <x:c r="C40" s="18" t="str">
        <x:v>Especialista implantação Tasy | TI Projetos</x:v>
      </x:c>
      <x:c r="D40" s="18" t="str">
        <x:v>Validação de escopo</x:v>
      </x:c>
      <x:c r="E40" s="18" t="str">
        <x:v>Vaga revisada no Firefox: exige experiência sólida e comprovada em implantação/sustentação Tasy, processos hospitalares, parametrização avançada e treinamentos de usuários.</x:v>
      </x:c>
      <x:c r="F40" s="19" t="str">
        <x:v>Excluído</x:v>
      </x:c>
      <x:c r="G40" s="24" t="str">
        <x:v>Não candidatar: senioridade e escopo de implantação/suporte hospitalar não correspondem ao perfil e ao foco definidos.</x:v>
      </x:c>
    </x:row>
    <x:row r="41" ht="76" customHeight="1">
      <x:c r="A41" s="60" t="str">
        <x:v>21/09/2026</x:v>
      </x:c>
      <x:c r="B41" s="18" t="str">
        <x:v>Gupy — Minsait</x:v>
      </x:c>
      <x:c r="C41" s="18" t="str">
        <x:v>Analista de Dados Júnior — Osasco/SP</x:v>
      </x:c>
      <x:c r="D41" s="18" t="str">
        <x:v>Correção de status e envio final</x:v>
      </x:c>
      <x:c r="E41" s="18" t="str">
        <x:v>Após marcar não para consentimento de entrevista técnica gravada por IA, a Gupy ainda permitiu o envio e exibiu ‘Candidatura finalizada!’. A candidatura foi submetida sem autorizar gravação.</x:v>
      </x:c>
      <x:c r="F41" s="19" t="str">
        <x:v>Concluído</x:v>
      </x:c>
      <x:c r="G41" s="24" t="str">
        <x:v>Acompanhar retorno; não autorizar nem iniciar gravação em etapa posterior.</x:v>
      </x:c>
    </x:row>
    <x:row r="42" ht="76" customHeight="1">
      <x:c r="A42" s="60" t="str">
        <x:v>21/09/2026</x:v>
      </x:c>
      <x:c r="B42" s="18" t="str">
        <x:v>Gupy — Viceri SEIDOR</x:v>
      </x:c>
      <x:c r="C42" s="18" t="str">
        <x:v>Pessoa Desenvolvedora Full Stack Júnior — Front-End e Cloud Azure</x:v>
      </x:c>
      <x:c r="D42" s="18" t="str">
        <x:v>Candidatura personalizada</x:v>
      </x:c>
      <x:c r="E42" s="18" t="str">
        <x:v>A Gupy confirmou o envio. A apresentação mostrou React/TypeScript, APIs, SQL/PostgreSQL, Docker e CI/CD; Angular, Node, Azure e Terraform foram tratados como estudo.</x:v>
      </x:c>
      <x:c r="F42" s="19" t="str">
        <x:v>Concluído</x:v>
      </x:c>
      <x:c r="G42" s="24" t="str">
        <x:v>Acompanhar e validar formato dos testes antes de iniciar.</x:v>
      </x:c>
    </x:row>
    <x:row r="43" ht="76" customHeight="1">
      <x:c r="A43" s="60" t="str">
        <x:v>21/09/2026</x:v>
      </x:c>
      <x:c r="B43" s="18" t="str">
        <x:v>Gupy — Sicredi</x:v>
      </x:c>
      <x:c r="C43" s="18" t="str">
        <x:v>Assistente de Desenvolvimento de Sistemas — Pelotas/RS</x:v>
      </x:c>
      <x:c r="D43" s="18" t="str">
        <x:v>Candidatura e respostas escritas</x:v>
      </x:c>
      <x:c r="E43" s="18" t="str">
        <x:v>A Gupy confirmou o envio. Três respostas escritas factuais foram concluídas sobre motivação, projeto de integração e método para automação; BPM/RPA corporativo não foi alegado.</x:v>
      </x:c>
      <x:c r="F43" s="19" t="str">
        <x:v>Concluído</x:v>
      </x:c>
      <x:c r="G43" s="24" t="str">
        <x:v>Acompanhar mapeamento, entrevista e estudo de caso; validar formato antes de cada etapa.</x:v>
      </x:c>
    </x:row>
    <x:row r="44" ht="76" customHeight="1">
      <x:c r="A44" s="60" t="str">
        <x:v>21/09/2026</x:v>
      </x:c>
      <x:c r="B44" s="18" t="str">
        <x:v>Gupy — Avla Brasil</x:v>
      </x:c>
      <x:c r="C44" s="18" t="str">
        <x:v>Analista de People Analytics</x:v>
      </x:c>
      <x:c r="D44" s="18" t="str">
        <x:v>Candidatura personalizada</x:v>
      </x:c>
      <x:c r="E44" s="18" t="str">
        <x:v>A Gupy confirmou o envio. Python, SQL/PostgreSQL, automação e Excel foram apresentados de forma factual; VBA, Looker e People Analytics ficaram como aprendizado.</x:v>
      </x:c>
      <x:c r="F44" s="19" t="str">
        <x:v>Concluído</x:v>
      </x:c>
      <x:c r="G44" s="24" t="str">
        <x:v>Acompanhar e validar o formato das entrevistas.</x:v>
      </x:c>
    </x:row>
    <x:row r="45" ht="76" customHeight="1">
      <x:c r="A45" s="60" t="str">
        <x:v>21/09/2026</x:v>
      </x:c>
      <x:c r="B45" s="18" t="str">
        <x:v>Gupy — Mendelics</x:v>
      </x:c>
      <x:c r="C45" s="18" t="str">
        <x:v>Desenvolvedor(a)</x:v>
      </x:c>
      <x:c r="D45" s="18" t="str">
        <x:v>Candidatura personalizada</x:v>
      </x:c>
      <x:c r="E45" s="18" t="str">
        <x:v>A Gupy exibiu ‘Candidatura finalizada!’ após apresentação focada em Python/FastAPI, APIs, PostgreSQL, Docker, pytest, CI/CD e GCP. Pretensão: R$7.000 CLT, negociável.</x:v>
      </x:c>
      <x:c r="F45" s="19" t="str">
        <x:v>Concluído</x:v>
      </x:c>
      <x:c r="G45" s="24" t="str">
        <x:v>Acompanhar e validar formato de cada entrevista antes de iniciar.</x:v>
      </x:c>
    </x:row>
    <x:row r="46" ht="76" customHeight="1">
      <x:c r="A46" s="60" t="str">
        <x:v>21/09/2026</x:v>
      </x:c>
      <x:c r="B46" s="18" t="str">
        <x:v>Gupy — Benner</x:v>
      </x:c>
      <x:c r="C46" s="18" t="str">
        <x:v>Programador Junior</x:v>
      </x:c>
      <x:c r="D46" s="18" t="str">
        <x:v>Candidatura personalizada</x:v>
      </x:c>
      <x:c r="E46" s="18" t="str">
        <x:v>A Gupy exibiu ‘Candidatura finalizada!’. O texto separou projetos/freelances de experiência formal e destacou C#/.NET, APIs, EF, PostgreSQL, testes e CI/CD; pretensão pré-gravada de R$5.000 CLT negociável foi preservada.</x:v>
      </x:c>
      <x:c r="F46" s="19" t="str">
        <x:v>Concluído</x:v>
      </x:c>
      <x:c r="G46" s="24" t="str">
        <x:v>Acompanhar e validar formato de entrevistas posteriores.</x:v>
      </x:c>
    </x:row>
    <x:row r="47" ht="76" customHeight="1">
      <x:c r="A47" s="60" t="str">
        <x:v>21/09/2026</x:v>
      </x:c>
      <x:c r="B47" s="18" t="str">
        <x:v>Gupy — FCamara</x:v>
      </x:c>
      <x:c r="C47" s="18" t="str">
        <x:v>Desenvolvedor Full Stack .NET</x:v>
      </x:c>
      <x:c r="D47" s="18" t="str">
        <x:v>Candidatura de alcance</x:v>
      </x:c>
      <x:c r="E47" s="18" t="str">
        <x:v>A Gupy exibiu ‘Candidatura finalizada!’. A candidatura declarou C#/.NET, APIs REST, EF Core, PostgreSQL, Git, Docker, xUnit e CI/CD em projetos/freelances; Clean Architecture e SOLID como estudo.</x:v>
      </x:c>
      <x:c r="F47" s="19" t="str">
        <x:v>Concluído</x:v>
      </x:c>
      <x:c r="G47" s="24" t="str">
        <x:v>Acompanhar; manter como stretch por exigir experiência mais madura.</x:v>
      </x:c>
    </x:row>
    <x:row r="48" ht="76" customHeight="1">
      <x:c r="A48" s="60" t="str">
        <x:v>21/09/2026</x:v>
      </x:c>
      <x:c r="B48" s="18" t="str">
        <x:v>Gupy — Quality Digital</x:v>
      </x:c>
      <x:c r="C48" s="18" t="str">
        <x:v>DESENVOLVEDOR JÚNIOR</x:v>
      </x:c>
      <x:c r="D48" s="18" t="str">
        <x:v>Candidatura personalizada</x:v>
      </x:c>
      <x:c r="E48" s="18" t="str">
        <x:v>A Gupy confirmou o envio. Texto individual associou Python/FastAPI e C#/.NET a APIs, SQL/PostgreSQL, Git, Docker, testes e investigação por logs/queries, sem declarar experiência corporativa em sustentação.</x:v>
      </x:c>
      <x:c r="F48" s="19" t="str">
        <x:v>Concluído</x:v>
      </x:c>
      <x:c r="G48" s="24" t="str">
        <x:v>Acompanhar Talent e gestor; validar formato antes de iniciar.</x:v>
      </x:c>
    </x:row>
    <x:row r="49" ht="76" customHeight="1">
      <x:c r="A49" s="60" t="str">
        <x:v>21/09/2026</x:v>
      </x:c>
      <x:c r="B49" s="18" t="str">
        <x:v>Gupy — Daycoval Tech</x:v>
      </x:c>
      <x:c r="C49" s="18" t="str">
        <x:v>Analista de Desenvolvimento Junior</x:v>
      </x:c>
      <x:c r="D49" s="18" t="str">
        <x:v>Candidatura personalizada</x:v>
      </x:c>
      <x:c r="E49" s="18" t="str">
        <x:v>A Gupy exibiu ‘Candidatura finalizada!’. A apresentação foi honesta sobre projetos/freelances em C#/.NET, ASP.NET Core, APIs REST, EF Core, SQL, Docker e testes; não alegou os dois anos de vínculo corporativo pedidos na vaga.</x:v>
      </x:c>
      <x:c r="F49" s="19" t="str">
        <x:v>Concluído</x:v>
      </x:c>
      <x:c r="G49" s="24" t="str">
        <x:v>Acompanhar e validar formato de cada etapa antes de iniciar.</x:v>
      </x:c>
    </x:row>
    <x:row r="50" ht="76" customHeight="1">
      <x:c r="A50" s="60" t="str">
        <x:v>21/09/2026</x:v>
      </x:c>
      <x:c r="B50" s="18" t="str">
        <x:v>Gupy — Stefanini Group</x:v>
      </x:c>
      <x:c r="C50" s="18" t="str">
        <x:v>Analista Desenvolvedor Pleno</x:v>
      </x:c>
      <x:c r="D50" s="18" t="str">
        <x:v>Candidatura personalizada</x:v>
      </x:c>
      <x:c r="E50" s="18" t="str">
        <x:v>A Gupy exibiu ‘Candidatura finalizada!’. A apresentação destacou Python, FastAPI, APIs, PostgreSQL, Docker, pytest, CI/CD, integrações e uso crítico de IA, explicando que a experiência formal corporativa está em formação. Pretensão: R$7.000 CLT negociável.</x:v>
      </x:c>
      <x:c r="F50" s="19" t="str">
        <x:v>Concluído</x:v>
      </x:c>
      <x:c r="G50" s="24" t="str">
        <x:v>Acompanhar a ‘Entrevista Inteligente’; não iniciar se exigir áudio ou vídeo.</x:v>
      </x:c>
    </x:row>
    <x:row r="51" ht="76" customHeight="1">
      <x:c r="A51" s="60" t="str">
        <x:v>21/09/2026</x:v>
      </x:c>
      <x:c r="B51" s="18" t="str">
        <x:v>Gupy — Confitec</x:v>
      </x:c>
      <x:c r="C51" s="18" t="str">
        <x:v>Desenvolvedor .NET/ Angular - Júnior</x:v>
      </x:c>
      <x:c r="D51" s="18" t="str">
        <x:v>Candidatura personalizada</x:v>
      </x:c>
      <x:c r="E51" s="18" t="str">
        <x:v>A Gupy exibiu ‘Candidatura finalizada!’. As respostas registraram base em PostgreSQL/MySQL, ausência de experiência profissional em SQL Server/Angular e prática factual em C#/.NET, APIs, EF Core, xUnit, Docker e CI/CD. Pretensão: R$5.000 CLT negociável.</x:v>
      </x:c>
      <x:c r="F51" s="19" t="str">
        <x:v>Concluído</x:v>
      </x:c>
      <x:c r="G51" s="24" t="str">
        <x:v>Acompanhar e validar formato de entrevistas antes de iniciar.</x:v>
      </x:c>
    </x:row>
    <x:row r="52" ht="76" customHeight="1">
      <x:c r="A52" s="60" t="str">
        <x:v>21/09/2026</x:v>
      </x:c>
      <x:c r="B52" s="18" t="str">
        <x:v>Pesquisa pública — Gupy</x:v>
      </x:c>
      <x:c r="C52" s="18" t="str">
        <x:v>Empresas acima de Inbrands</x:v>
      </x:c>
      <x:c r="D52" s="18" t="str">
        <x:v>Revisão de elegibilidade</x:v>
      </x:c>
      <x:c r="E52" s="18" t="str">
        <x:v>Foram revisadas as empresas acima de Inbrands. Vagas aderentes foram enviadas ou registradas; trainee Confitec e DBA Jr Stefanini ficaram pendentes por faixa salarial potencialmente abaixo do piso. Vagas de suporte, comercial, requisitos incompatíveis ou audiovisual foram mantidas fora do envio.</x:v>
      </x:c>
      <x:c r="F52" s="19" t="str">
        <x:v>Concluído</x:v>
      </x:c>
      <x:c r="G52" s="24" t="str">
        <x:v>Retomar a fila apenas quando houver nova vaga, e-mail de próxima fase ou confirmação salarial.</x:v>
      </x:c>
    </x:row>
    <x:row r="53" ht="76" customHeight="1">
      <x:c r="A53" s="60" t="str">
        <x:v>21/09/2026</x:v>
      </x:c>
      <x:c r="B53" s="18" t="str">
        <x:v>DigAí Jobs</x:v>
      </x:c>
      <x:c r="C53" s="18" t="str">
        <x:v>Busca: desenvolvimento, dados ou TI</x:v>
      </x:c>
      <x:c r="D53" s="18" t="str">
        <x:v>Acesso e triagem</x:v>
      </x:c>
      <x:c r="E53" s="18" t="str">
        <x:v>O cadastro retornou ‘EDTP2002 - This record already exists’; a recuperação foi concluída e o login de candidato foi confirmado no navegador do Codex. A página inicial seguinte pediu habilitação e gravação de microfone, que não foram iniciadas pelo protocolo audiovisual. A busca inicial teve 10 resultados, predominantemente sênior/pleno ou PCD. A busca filtrada ‘Desenvolvedor Júnior’ retornou 9 resultados: três afirmativas PCD, vagas sênior duplicadas, manutenção, mobile e uma Stefanini Full Stack Jr remota. Esta última exige PHP/Symfony e Angular como base, além de iniciar por entrevista de IA; não foi aberta por haver gap técnico relevante e possível etapa audiovisual.</x:v>
      </x:c>
      <x:c r="F53" s="19" t="str">
        <x:v>Concluído</x:v>
      </x:c>
      <x:c r="G53" s="24" t="str">
        <x:v>Conta acessível. Reexaminar somente vagas de desenvolvimento, dados ou IA cujo requisito real seja compatível com a stack; confirmar que qualquer entrevista de IA seja escrita antes de iniciar. Nenhuma candidatura foi enviada pela DigAí nesta triagem.</x:v>
      </x:c>
    </x:row>
    <x:row r="54" ht="76" customHeight="1">
      <x:c r="A54" s="60" t="str">
        <x:v>21/09/2026</x:v>
      </x:c>
      <x:c r="B54" s="18" t="str">
        <x:v>Gmail + currículo</x:v>
      </x:c>
      <x:c r="C54" s="18" t="str">
        <x:v>Diagonal — Desenvolvedor(a) Full Stack</x:v>
      </x:c>
      <x:c r="D54" s="18" t="str">
        <x:v>Validação de requisito</x:v>
      </x:c>
      <x:c r="E54" s="18" t="str">
        <x:v>O aviso de candidatura não finalizada há três dias foi revisado. O currículo confirma TypeScript, mas não experiência em Node.js. O formulário obrigatório aceita somente ‘1–2 anos’ ou mais em Node.js, sem alternativa compatível com zero experiência.</x:v>
      </x:c>
      <x:c r="F54" s="19" t="str">
        <x:v>Bloqueado</x:v>
      </x:c>
      <x:c r="G54" s="24" t="str">
        <x:v>Não enviar nem alterar a resposta pré-marcada; não declarar tempo de Node.js não comprovado.</x:v>
      </x:c>
    </x:row>
    <x:row r="55" ht="76" customHeight="1">
      <x:c r="A55" s="60" t="str">
        <x:v>21/09/2026</x:v>
      </x:c>
      <x:c r="B55" s="18" t="str">
        <x:v>Gmail + Gupy — Sicredi</x:v>
      </x:c>
      <x:c r="C55" s="18" t="str">
        <x:v>Assistente de Desenvolvimento de Sistemas — Pelotas/RS</x:v>
      </x:c>
      <x:c r="D55" s="18" t="str">
        <x:v>Nova etapa PDA</x:v>
      </x:c>
      <x:c r="E55" s="18" t="str">
        <x:v>E-mail de 12:02 liberou o PDA, avaliação comportamental de 10–20 minutos. O convite não menciona áudio, vídeo, câmera ou microfone, mas o instrumento mede traços pessoais.</x:v>
      </x:c>
      <x:c r="F55" s="19" t="str">
        <x:v>Pendente</x:v>
      </x:c>
      <x:c r="G55" s="24" t="str">
        <x:v>Responder pessoalmente, com respostas próprias; a etapa não foi iniciada.</x:v>
      </x:c>
    </x:row>
    <x:row r="56" ht="76" customHeight="1">
      <x:c r="A56" s="60" t="str">
        <x:v>21/09/2026</x:v>
      </x:c>
      <x:c r="B56" s="18" t="str">
        <x:v>Gupy — Grupo Breitkopf</x:v>
      </x:c>
      <x:c r="C56" s="18" t="str">
        <x:v>Desenvolvedor(a) RPA Júnior</x:v>
      </x:c>
      <x:c r="D56" s="18" t="str">
        <x:v>Formato da etapa</x:v>
      </x:c>
      <x:c r="E56" s="18" t="str">
        <x:v>Portal revisado: a etapa 2/5 é ‘Metodologia Comportamental’ e mostra apenas ‘Iniciar teste’. Não há indicação audiovisual antes do início.</x:v>
      </x:c>
      <x:c r="F56" s="19" t="str">
        <x:v>Pendente</x:v>
      </x:c>
      <x:c r="G56" s="24" t="str">
        <x:v>Responder pessoalmente ao mapeamento; nenhuma questão foi aberta ou respondida.</x:v>
      </x:c>
    </x:row>
    <x:row r="57" ht="76" customHeight="1">
      <x:c r="A57" s="60" t="str">
        <x:v>21/09/2026</x:v>
      </x:c>
      <x:c r="B57" s="18" t="str">
        <x:v>Gmail — DigAí / Stefanini Group</x:v>
      </x:c>
      <x:c r="C57" s="18" t="str">
        <x:v>Analista Desenvolvedor Pleno</x:v>
      </x:c>
      <x:c r="D57" s="18" t="str">
        <x:v>Formato da Entrevista Inteligente</x:v>
      </x:c>
      <x:c r="E57" s="18" t="str">
        <x:v>E-mail de 12:46 confirma que a etapa é uma entrevista por áudio via DigAí. Nenhum botão de início foi acionado.</x:v>
      </x:c>
      <x:c r="F57" s="19" t="str">
        <x:v>Bloqueado</x:v>
      </x:c>
      <x:c r="G57" s="24" t="str">
        <x:v>Não iniciar pelo protocolo de não realizar etapas de áudio, vídeo, câmera ou microfone.</x:v>
      </x:c>
    </x:row>
    <x:row r="58" ht="76" customHeight="1">
      <x:c r="A58" s="60" t="str">
        <x:v>21/09/2026</x:v>
      </x:c>
      <x:c r="B58" s="18" t="str">
        <x:v>Gmail + Gupy — Grupo SysMap</x:v>
      </x:c>
      <x:c r="C58" s="18" t="str">
        <x:v>Analista Programador Front End PL</x:v>
      </x:c>
      <x:c r="D58" s="18" t="str">
        <x:v>Nova etapa comportamental</x:v>
      </x:c>
      <x:c r="E58" s="18" t="str">
        <x:v>E-mail de 11:20 confirmou o desbloqueio de Mapeamento Comportamental. A vaga oficial ativa é remota CLT e pede front-end moderno, TypeScript, Python APIs, SQL, testes, Git, CI/CD, Docker e IA aplicada.</x:v>
      </x:c>
      <x:c r="F58" s="19" t="str">
        <x:v>Pendente</x:v>
      </x:c>
      <x:c r="G58" s="24" t="str">
        <x:v>Mapeamento é avaliação pessoal: não foi aberto nem respondido. Formato audiovisual não aparece no aviso; validar antes de qualquer etapa seguinte.</x:v>
      </x:c>
    </x:row>
    <x:row r="59" ht="118" customHeight="1">
      <x:c r="A59" s="61" t="str">
        <x:v>21/09/2026</x:v>
      </x:c>
      <x:c r="B59" s="28" t="str">
        <x:v>LinkedIn — NYBANQ</x:v>
      </x:c>
      <x:c r="C59" s="28" t="str">
        <x:v>IT / Software Engineering Intern — API &amp; Integrations</x:v>
      </x:c>
      <x:c r="D59" s="28" t="str">
        <x:v>Revalidação de alerta</x:v>
      </x:c>
      <x:c r="E59" s="28" t="str">
        <x:v>Página oficial revisada: não aceita mais candidaturas. A vaga era remota de estágio em integrações/API e não divulgava salário, benefícios ou faixa.</x:v>
      </x:c>
      <x:c r="F59" s="29" t="str">
        <x:v>Encerrado</x:v>
      </x:c>
      <x:c r="G59" s="30" t="str">
        <x:v>Registrar apenas para monitorar repostagem; não houve candidatura. Inglês fluente é requisito e o perfil informado é B1.</x:v>
      </x:c>
    </x:row>
    <x:row r="60" ht="54" customHeight="1">
      <x:c r="A60" s="61" t="str">
        <x:v>30/09/2026</x:v>
      </x:c>
      <x:c r="B60" s="28" t="str">
        <x:v>Indeed → Gupy — Afya</x:v>
      </x:c>
      <x:c r="C60" s="28" t="str">
        <x:v>Analista de Dados Júnior</x:v>
      </x:c>
      <x:c r="D60" s="28" t="str">
        <x:v>Candidatura personalizada e envio final</x:v>
      </x:c>
      <x:c r="E60" s="28" t="str">
        <x:v>A Gupy exibiu ‘Candidatura finalizada!’. A apresentação foi adaptada a SQL, Python, PostgreSQL, APIs, automações, documentação e validação de integridade, sem alegar domínio de Power BI ou dbt.</x:v>
      </x:c>
      <x:c r="F60" s="29" t="str">
        <x:v>Concluído</x:v>
      </x:c>
      <x:c r="G60" s="30" t="str">
        <x:v>Acompanhar e-mail; validar o formato de cada etapa antes de iniciar, especialmente a Entrevista Inteligente.</x:v>
      </x:c>
    </x:row>
    <x:row r="61" ht="54" customHeight="1">
      <x:c r="A61" s="61" t="str">
        <x:v>30/09/2026</x:v>
      </x:c>
      <x:c r="B61" s="28" t="str">
        <x:v>Indeed → MOST</x:v>
      </x:c>
      <x:c r="C61" s="28" t="str">
        <x:v>Full Stack Developer (Python) — Hiperautomação</x:v>
      </x:c>
      <x:c r="D61" s="28" t="str">
        <x:v>Triagem e formulário oficial</x:v>
      </x:c>
      <x:c r="E61" s="28" t="str">
        <x:v>Vaga remota de estágio de 6h com bolsa oficial de R$4.000. O Google Form exige upload de currículo; o formulário e o desafio técnico não foram enviados/iniciados nesta sessão.</x:v>
      </x:c>
      <x:c r="F61" s="29" t="str">
        <x:v>Pendente</x:v>
      </x:c>
      <x:c r="G61" s="30" t="str">
        <x:v>Anexar currículo no formulário; realizar qualquer desafio técnico pessoalmente.</x:v>
      </x:c>
    </x:row>
    <x:row r="62" ht="54" customHeight="1">
      <x:c r="A62" s="61" t="str">
        <x:v>30/09/2026</x:v>
      </x:c>
      <x:c r="B62" s="28" t="str">
        <x:v>Indeed — rascunhos e formulários externos</x:v>
      </x:c>
      <x:c r="C62" s="28" t="str">
        <x:v>Ana Recrutamento, iblue, YSSY, Cakto, Equifax e Kazza</x:v>
      </x:c>
      <x:c r="D62" s="28" t="str">
        <x:v>Registro de pendências operacionais</x:v>
      </x:c>
      <x:c r="E62" s="28" t="str">
        <x:v>Foram registrados rascunhos e formulários bloqueados por dados cadastrais não fornecidos ou upload obrigatório de currículo. Nenhum dado de endereço, CNH, estado civil ou arquivo foi inventado/substituído.</x:v>
      </x:c>
      <x:c r="F62" s="29" t="str">
        <x:v>Pendente</x:v>
      </x:c>
      <x:c r="G62" s="30" t="str">
        <x:v>Retomar cada item com o dado ou anexo correspondente; revisar antes de enviar.</x:v>
      </x:c>
    </x:row>
    <x:row r="63" ht="54" customHeight="1">
      <x:c r="A63" s="61" t="str">
        <x:v>30/09/2026</x:v>
      </x:c>
      <x:c r="B63" s="28" t="str">
        <x:v>Indeed</x:v>
      </x:c>
      <x:c r="C63" s="28" t="str">
        <x:v>Ciclo de busca de desenvolvimento, dados e IA</x:v>
      </x:c>
      <x:c r="D63" s="28" t="str">
        <x:v>Limitação de plataforma</x:v>
      </x:c>
      <x:c r="E63" s="28" t="str">
        <x:v>O Indeed salvou rascunhos quando possível. Botões finais protegidos por reCAPTCHA e uma página de pesquisa com Cloudflare não foram contornados.</x:v>
      </x:c>
      <x:c r="F63" s="29" t="str">
        <x:v>Concluído</x:v>
      </x:c>
      <x:c r="G63" s="30" t="str">
        <x:v>Retomar a busca pelo Indeed quando o acesso normal estiver liberado; não burlar verificações.</x:v>
      </x:c>
    </x:row>
    <x:row r="64" ht="54" customHeight="1">
      <x:c r="A64" s="61" t="str">
        <x:v>30/09/2026</x:v>
      </x:c>
      <x:c r="B64" s="28" t="str">
        <x:v>Indeed → Gupy — Terram Engenharia</x:v>
      </x:c>
      <x:c r="C64" s="28" t="str">
        <x:v>Analista de Dados Jr</x:v>
      </x:c>
      <x:c r="D64" s="28" t="str">
        <x:v>Candidatura personalizada e envio final</x:v>
      </x:c>
      <x:c r="E64" s="28" t="str">
        <x:v>A Gupy exibiu ‘Candidatura finalizada!’. A apresentação destacou Python, SQL/PostgreSQL, automações, APIs, Excel e documentação, tratando Power BI como tema de aprofundamento.</x:v>
      </x:c>
      <x:c r="F64" s="29" t="str">
        <x:v>Concluído</x:v>
      </x:c>
      <x:c r="G64" s="30" t="str">
        <x:v>Acompanhar Fit Cultural e demais fases; validar o formato antes de iniciar qualquer avaliação.</x:v>
      </x:c>
    </x:row>
    <x:row r="65" ht="54" customHeight="1">
      <x:c r="A65" s="61" t="str">
        <x:v>30/09/2026</x:v>
      </x:c>
      <x:c r="B65" s="28" t="str">
        <x:v>Indeed — AM53 Tech Recruitment</x:v>
      </x:c>
      <x:c r="C65" s="28" t="str">
        <x:v>Desenvolvedor(a) Júnior — Python &amp; Data Analytics</x:v>
      </x:c>
      <x:c r="D65" s="28" t="str">
        <x:v>Personalização e rascunho final</x:v>
      </x:c>
      <x:c r="E65" s="28" t="str">
        <x:v>Currículo e carta personalizada foram preparados. A candidatura chegou a 100%, mas o botão final não ficou disponível por reCAPTCHA; a verificação não foi contornada.</x:v>
      </x:c>
      <x:c r="F65" s="29" t="str">
        <x:v>Pendente</x:v>
      </x:c>
      <x:c r="G65" s="30" t="str">
        <x:v>Retomar por Minhas Vagas no Indeed para concluir o envio quando a verificação normal estiver habilitada.</x:v>
      </x:c>
    </x:row>
    <x:row r="66" ht="54" customHeight="1">
      <x:c r="A66" s="61" t="str">
        <x:v>30/09/2026</x:v>
      </x:c>
      <x:c r="B66" s="28" t="str">
        <x:v>Indeed — COBRAPE</x:v>
      </x:c>
      <x:c r="C66" s="28" t="str">
        <x:v>Programador Junior</x:v>
      </x:c>
      <x:c r="D66" s="28" t="str">
        <x:v>Revisão e tentativa de envio</x:v>
      </x:c>
      <x:c r="E66" s="28" t="str">
        <x:v>A vaga é aderente a C#/.NET e banco relacional. A tela abriu a 100%, mas ‘Enviar sua candidatura’ permaneceu desabilitado por reCAPTCHA. Nenhuma verificação foi burlada.</x:v>
      </x:c>
      <x:c r="F66" s="29" t="str">
        <x:v>Pendente</x:v>
      </x:c>
      <x:c r="G66" s="30" t="str">
        <x:v>Concluir pelo Indeed quando o botão final estiver disponível; confirmar o recibo antes de marcar como enviada.</x:v>
      </x:c>
    </x:row>
    <x:row r="67" ht="62" customHeight="1">
      <x:c r="A67" s="61" t="str">
        <x:v>30/09/2026</x:v>
      </x:c>
      <x:c r="B67" s="28" t="str">
        <x:v>Indeed → Gupy — Conviso</x:v>
      </x:c>
      <x:c r="C67" s="28" t="str">
        <x:v>Junior/Pleno Front-End Engineer</x:v>
      </x:c>
      <x:c r="D67" s="28" t="str">
        <x:v>Candidatura personalizada e envio final</x:v>
      </x:c>
      <x:c r="E67" s="28" t="str">
        <x:v>A Gupy exibiu ‘Candidatura finalizada!’. O texto adaptado destacou JavaScript/TypeScript, React de projetos, APIs, PostgreSQL, Docker, Git e testes, tratando Vue como aprendizado.</x:v>
      </x:c>
      <x:c r="F67" s="29" t="str">
        <x:v>Concluído</x:v>
      </x:c>
      <x:c r="G67" s="30" t="str">
        <x:v>Acompanhar e-mail; validar o formato de qualquer próxima etapa antes de iniciar.</x:v>
      </x:c>
    </x:row>
    <x:row r="68" ht="62" customHeight="1">
      <x:c r="A68" s="61" t="str">
        <x:v>30/09/2026</x:v>
      </x:c>
      <x:c r="B68" s="28" t="str">
        <x:v>Indeed — Black Lion</x:v>
      </x:c>
      <x:c r="C68" s="28" t="str">
        <x:v>Desenvolvedor(a) Full Stack Júnior | Fintech</x:v>
      </x:c>
      <x:c r="D68" s="28" t="str">
        <x:v>Rascunho final e bloqueio de reCAPTCHA</x:v>
      </x:c>
      <x:c r="E68" s="28" t="str">
        <x:v>Currículo e respostas factuais chegaram a 100%. A vaga divulga R$3.000/mês, mas o envio final ficou protegido por reCAPTCHA; a verificação não foi contornada.</x:v>
      </x:c>
      <x:c r="F68" s="29" t="str">
        <x:v>Pendente</x:v>
      </x:c>
      <x:c r="G68" s="30" t="str">
        <x:v>Concluir normalmente pelo Indeed em Minhas Vagas e confirmar o recibo.</x:v>
      </x:c>
    </x:row>
    <x:row r="69" ht="62" customHeight="1">
      <x:c r="A69" s="61" t="str">
        <x:v>30/09/2026</x:v>
      </x:c>
      <x:c r="B69" s="28" t="str">
        <x:v>Indeed — Vertigo e Extractta</x:v>
      </x:c>
      <x:c r="C69" s="28" t="str">
        <x:v>Analista de IA Jr; Backend Jr C#/.NET</x:v>
      </x:c>
      <x:c r="D69" s="28" t="str">
        <x:v>Questionários técnicos escritos</x:v>
      </x:c>
      <x:c r="E69" s="28" t="str">
        <x:v>Os rascunhos foram salvos no Indeed. Restam perguntas técnicas de múltipla escolha; nenhuma resposta de avaliação foi atribuída ao candidato.</x:v>
      </x:c>
      <x:c r="F69" s="29" t="str">
        <x:v>Pendente</x:v>
      </x:c>
      <x:c r="G69" s="30" t="str">
        <x:v>Responder pessoalmente aos questionários e enviar; confirmar os recibos.</x:v>
      </x:c>
    </x:row>
    <x:row r="70" ht="62" customHeight="1">
      <x:c r="A70" s="61" t="str">
        <x:v>30/09/2026</x:v>
      </x:c>
      <x:c r="B70" s="28" t="str">
        <x:v>Indeed → Sólides — ELA DECORA e UNIX Logística</x:v>
      </x:c>
      <x:c r="C70" s="28" t="str">
        <x:v>Full Stack Jr IA/SaaS; Dev Jr Automação/IA</x:v>
      </x:c>
      <x:c r="D70" s="28" t="str">
        <x:v>Profiler comportamental obrigatório</x:v>
      </x:c>
      <x:c r="E70" s="28" t="str">
        <x:v>Ambas exigem Profiler antes de salvar a candidatura. A UNIX divulga R$4.500 CLT; não houve candidatura confirmada.</x:v>
      </x:c>
      <x:c r="F70" s="29" t="str">
        <x:v>Pendente</x:v>
      </x:c>
      <x:c r="G70" s="30" t="str">
        <x:v>Realizar pessoalmente a avaliação comportamental e revisar as candidaturas.</x:v>
      </x:c>
    </x:row>
    <x:row r="71" ht="62" customHeight="1">
      <x:c r="A71" s="61" t="str">
        <x:v>30/09/2026</x:v>
      </x:c>
      <x:c r="B71" s="28" t="str">
        <x:v>Indeed — Overlabs e Datum</x:v>
      </x:c>
      <x:c r="C71" s="28" t="str">
        <x:v>FullStack Node/React; Engenheira de Dados Jr</x:v>
      </x:c>
      <x:c r="D71" s="28" t="str">
        <x:v>Upload obrigatório de currículo</x:v>
      </x:c>
      <x:c r="E71" s="28" t="str">
        <x:v>Os formulários externos exigem CV anexado e não registraram envio. Nenhum arquivo foi simulado ou substituído.</x:v>
      </x:c>
      <x:c r="F71" s="29" t="str">
        <x:v>Pendente</x:v>
      </x:c>
      <x:c r="G71" s="30" t="str">
        <x:v>Anexar o currículo manualmente, revisar e enviar.</x:v>
      </x:c>
    </x:row>
    <x:row r="72" ht="62" customHeight="1">
      <x:c r="A72" s="61" t="str">
        <x:v>30/09/2026</x:v>
      </x:c>
      <x:c r="B72" s="28" t="str">
        <x:v>Indeed → Jobbol — AuthSoft</x:v>
      </x:c>
      <x:c r="C72" s="28" t="str">
        <x:v>Desenvolvedor Júnior</x:v>
      </x:c>
      <x:c r="D72" s="28" t="str">
        <x:v>Candidatura enviada</x:v>
      </x:c>
      <x:c r="E72" s="28" t="str">
        <x:v>Candidatura enviada com currículo anexado; confirmação da plataforma exibiu protocolo LK9591784 e aviso de e-mail de confirmação.</x:v>
      </x:c>
      <x:c r="F72" s="29" t="str">
        <x:v>Concluído</x:v>
      </x:c>
      <x:c r="G72" s="30" t="str">
        <x:v>Acompanhar e-mail e portal Jobbol; validar formato de qualquer nova etapa.</x:v>
      </x:c>
    </x:row>
    <x:row r="73" ht="62" customHeight="1">
      <x:c r="A73" s="61" t="str">
        <x:v>30/09/2026</x:v>
      </x:c>
      <x:c r="B73" s="28" t="str">
        <x:v>Indeed → Gupy — Construmarket</x:v>
      </x:c>
      <x:c r="C73" s="28" t="str">
        <x:v>Desenvolvedor(a) Júnior</x:v>
      </x:c>
      <x:c r="D73" s="28" t="str">
        <x:v>Candidatura personalizada e envio final</x:v>
      </x:c>
      <x:c r="E73" s="28" t="str">
        <x:v>A Gupy exibiu ‘Candidatura finalizada!’. A apresentação valorizou C#/.NET, TypeScript, APIs, SQL/PostgreSQL, Docker, Git e testes, sem declarar Angular como experiência consolidada.</x:v>
      </x:c>
      <x:c r="F73" s="29" t="str">
        <x:v>Concluído</x:v>
      </x:c>
      <x:c r="G73" s="30" t="str">
        <x:v>Acompanhar Fit Cultural/teste; qualquer avaliação deve ser feita pessoalmente e com formato validado.</x:v>
      </x:c>
    </x:row>
    <x:row r="74" ht="62" customHeight="1">
      <x:c r="A74" s="61" t="str">
        <x:v>30/09/2026</x:v>
      </x:c>
      <x:c r="B74" s="28" t="str">
        <x:v>Indeed → Gupy — Tokio Marine</x:v>
      </x:c>
      <x:c r="C74" s="28" t="str">
        <x:v>Analista de Sistemas Júnior — Inteligência Artificial</x:v>
      </x:c>
      <x:c r="D74" s="28" t="str">
        <x:v>Finalização e personalização</x:v>
      </x:c>
      <x:c r="E74" s="28" t="str">
        <x:v>A candidatura foi retomada e finalizada na Gupy, com apresentação adaptada a Python, APIs, SQL, dados, IA/LLM, documentação e inglês intermediário.</x:v>
      </x:c>
      <x:c r="F74" s="29" t="str">
        <x:v>Concluído</x:v>
      </x:c>
      <x:c r="G74" s="30" t="str">
        <x:v>Acompanhar Fit Cultural e testes complementares; validar o formato antes de iniciar.</x:v>
      </x:c>
    </x:row>
    <x:row r="75" ht="62" customHeight="1">
      <x:c r="A75" s="61" t="str">
        <x:v>30/09/2026</x:v>
      </x:c>
      <x:c r="B75" s="28" t="str">
        <x:v>Indeed → Gupy — Libbs</x:v>
      </x:c>
      <x:c r="C75" s="28" t="str">
        <x:v>Desenvolvedor de Automação e IA Jr</x:v>
      </x:c>
      <x:c r="D75" s="28" t="str">
        <x:v>Candidatura personalizada e envio final</x:v>
      </x:c>
      <x:c r="E75" s="28" t="str">
        <x:v>A Gupy exibiu ‘Candidatura finalizada!’. O texto foi fiel a Python, APIs, SQL, Docker, Git, testes e automação; RPA/BPM foram posicionados como aprendizado.</x:v>
      </x:c>
      <x:c r="F75" s="29" t="str">
        <x:v>Concluído</x:v>
      </x:c>
      <x:c r="G75" s="30" t="str">
        <x:v>Acompanhar abordagem telefônica, entrevista e case; realizar pessoalmente qualquer etapa avaliativa.</x:v>
      </x:c>
    </x:row>
    <x:row r="76" ht="62" customHeight="1">
      <x:c r="A76" s="61" t="str">
        <x:v>30/09/2026</x:v>
      </x:c>
      <x:c r="B76" s="28" t="str">
        <x:v>Indeed → Gupy — Bellinati Perez</x:v>
      </x:c>
      <x:c r="C76" s="28" t="str">
        <x:v>Analista de Dados Júnior</x:v>
      </x:c>
      <x:c r="D76" s="28" t="str">
        <x:v>Candidatura personalizada e envio final</x:v>
      </x:c>
      <x:c r="E76" s="28" t="str">
        <x:v>A Gupy exibiu ‘Candidatura finalizada!’. Foram preservadas respostas honestas sobre Excel, Python, SQL e BI como área em evolução.</x:v>
      </x:c>
      <x:c r="F76" s="29" t="str">
        <x:v>Concluído</x:v>
      </x:c>
      <x:c r="G76" s="30" t="str">
        <x:v>Acompanhar e-mail; realizar pessoalmente qualquer teste técnico.</x:v>
      </x:c>
    </x:row>
    <x:row r="77" ht="62" customHeight="1">
      <x:c r="A77" s="61" t="str">
        <x:v>30/09/2026</x:v>
      </x:c>
      <x:c r="B77" s="28" t="str">
        <x:v>Indeed → Sólides — Perillo Engenharia</x:v>
      </x:c>
      <x:c r="C77" s="28" t="str">
        <x:v>Desenvolvedor Full Stack Jr</x:v>
      </x:c>
      <x:c r="D77" s="28" t="str">
        <x:v>Bloqueio audiovisual identificado</x:v>
      </x:c>
      <x:c r="E77" s="28" t="str">
        <x:v>Vaga de R$5–6 mil PJ e aderência alta, mas o portal exige vídeo de apresentação obrigatório e RG antes de concluir. Nenhum vídeo foi iniciado.</x:v>
      </x:c>
      <x:c r="F77" s="29" t="str">
        <x:v>Pendente</x:v>
      </x:c>
      <x:c r="G77" s="30" t="str">
        <x:v>Fazer a apresentação em vídeo pessoalmente caso decida avançar.</x:v>
      </x:c>
    </x:row>
    <x:row r="78" ht="62" customHeight="1">
      <x:c r="A78" s="61" t="str">
        <x:v>30/09/2026</x:v>
      </x:c>
      <x:c r="B78" s="28" t="str">
        <x:v>Indeed — PLACE Tecnologia/C70</x:v>
      </x:c>
      <x:c r="C78" s="28" t="str">
        <x:v>Desenvolvedor de Software — Júnior</x:v>
      </x:c>
      <x:c r="D78" s="28" t="str">
        <x:v>Retomada de rascunho</x:v>
      </x:c>
      <x:c r="E78" s="28" t="str">
        <x:v>A página mostrou um rascunho iniciado, mas o SmartApply não carregou por reCAPTCHA. Nenhuma verificação foi contornada e não há recibo de envio.</x:v>
      </x:c>
      <x:c r="F78" s="29" t="str">
        <x:v>Pendente</x:v>
      </x:c>
      <x:c r="G78" s="30" t="str">
        <x:v>Retomar normalmente em Minhas Vagas no Indeed; confirmar o recibo antes de considerar enviada.</x:v>
      </x:c>
    </x:row>
    <x:row r="79" ht="62" customHeight="1">
      <x:c r="A79" s="61" t="str">
        <x:v>30/09/2026</x:v>
      </x:c>
      <x:c r="B79" s="28" t="str">
        <x:v>Indeed → Avanade / Accenture Workday</x:v>
      </x:c>
      <x:c r="C79" s="28" t="str">
        <x:v>Desenvolvedor(a) FullStack Junior</x:v>
      </x:c>
      <x:c r="D79" s="28" t="str">
        <x:v>Triagem e bloqueio por dados cadastrais</x:v>
      </x:c>
      <x:c r="E79" s="28" t="str">
        <x:v>Vaga aderente em .NET, React, TypeScript, APIs e testes. Login com Google foi concluído, mas o Workday requer endereço completo antes de salvar; nenhum endereço foi inventado.</x:v>
      </x:c>
      <x:c r="F79" s="29" t="str">
        <x:v>Pendente</x:v>
      </x:c>
      <x:c r="G79" s="30" t="str">
        <x:v>Preencher endereço, revisar o formulário e enviar pelo Workday.</x:v>
      </x:c>
    </x:row>
    <x:row r="80" ht="62" customHeight="1">
      <x:c r="A80" s="61" t="str">
        <x:v>30/09/2026</x:v>
      </x:c>
      <x:c r="B80" s="28" t="str">
        <x:v>Indeed → e-mail — MOST</x:v>
      </x:c>
      <x:c r="C80" s="28" t="str">
        <x:v>Full Stack Developer (Python) — Hiperautomação</x:v>
      </x:c>
      <x:c r="D80" s="28" t="str">
        <x:v>Candidatura por e-mail</x:v>
      </x:c>
      <x:c r="E80" s="28" t="str">
        <x:v>E-mail personalizado enviado ao RH da MOST com currículo técnico público, GitHub e LinkedIn. O Gmail exibiu 'Mensagem enviada'; desafio técnico não foi iniciado.</x:v>
      </x:c>
      <x:c r="F80" s="29" t="str">
        <x:v>Enviado</x:v>
      </x:c>
      <x:c r="G80" s="30" t="str">
        <x:v>Aguardar retorno/recibo; qualquer desafio técnico deve ser feito pessoalmente.</x:v>
      </x:c>
    </x:row>
    <x:row r="81" ht="62" customHeight="1">
      <x:c r="A81" s="61" t="str">
        <x:v>30/09/2026</x:v>
      </x:c>
      <x:c r="B81" s="28" t="str">
        <x:v>Indeed → Gupy — MRM Brasil</x:v>
      </x:c>
      <x:c r="C81" s="28" t="str">
        <x:v>Desenvolvedor Fullstack Jr</x:v>
      </x:c>
      <x:c r="D81" s="28" t="str">
        <x:v>Candidatura personalizada e envio final</x:v>
      </x:c>
      <x:c r="E81" s="28" t="str">
        <x:v>A Gupy exibiu 'Candidatura finalizada!'. A vaga aceita primeira experiência técnica; a personalização valorizou APIs, integrações, SQL/PostgreSQL, Docker, Git, testes, C#/.NET, Python/FastAPI, JavaScript/TypeScript e uso responsável de IA.</x:v>
      </x:c>
      <x:c r="F81" s="29" t="str">
        <x:v>Concluído</x:v>
      </x:c>
      <x:c r="G81" s="30" t="str">
        <x:v>Acompanhar e-mail; realizar pessoalmente entrevistas e avaliações.</x:v>
      </x:c>
    </x:row>
    <x:row r="82" ht="62" customHeight="1">
      <x:c r="A82" s="61" t="str">
        <x:v>30/09/2026</x:v>
      </x:c>
      <x:c r="B82" s="28" t="str">
        <x:v>Indeed → Gupy — Instituto Eldorado</x:v>
      </x:c>
      <x:c r="C82" s="28" t="str">
        <x:v>Pessoa desenvolvedora Machine Learning</x:v>
      </x:c>
      <x:c r="D82" s="28" t="str">
        <x:v>Candidatura personalizada e envio final</x:v>
      </x:c>
      <x:c r="E82" s="28" t="str">
        <x:v>A Gupy exibiu 'Candidatura finalizada!'. A apresentação foi transparente sobre Python, SQL, dados, cloud e IA aplicada, enquanto modelagem e bibliotecas de ML foram posicionadas como aprofundamento.</x:v>
      </x:c>
      <x:c r="F82" s="29" t="str">
        <x:v>Concluído</x:v>
      </x:c>
      <x:c r="G82" s="30" t="str">
        <x:v>Acompanhar e-mail; realizar pessoalmente entrevistas e avaliações.</x:v>
      </x:c>
    </x:row>
    <x:row r="83" ht="62" customHeight="1">
      <x:c r="A83" s="61" t="str">
        <x:v>30/09/2026</x:v>
      </x:c>
      <x:c r="B83" s="28" t="str">
        <x:v>Indeed — Lyncas, Valor Real e Luby</x:v>
      </x:c>
      <x:c r="C83" s="28" t="str">
        <x:v>FullStack Jr Node/React; Full Stack Jr; Fullstack IA/Javascript Trainee/Júnior</x:v>
      </x:c>
      <x:c r="D83" s="28" t="str">
        <x:v>Rascunhos 100% e reCAPTCHA</x:v>
      </x:c>
      <x:c r="E83" s="28" t="str">
        <x:v>Os três formulários ficaram completos e foram salvos por 14 dias. O envio final ficou bloqueado por reCAPTCHA; nenhuma verificação foi contornada.</x:v>
      </x:c>
      <x:c r="F83" s="29" t="str">
        <x:v>Pendente</x:v>
      </x:c>
      <x:c r="G83" s="30" t="str">
        <x:v>Abrir Minhas Vagas no Indeed, concluir a verificação normal e enviar pessoalmente.</x:v>
      </x:c>
    </x:row>
    <x:row r="84" ht="62" customHeight="1">
      <x:c r="A84" s="61" t="str">
        <x:v>30/09/2026</x:v>
      </x:c>
      <x:c r="B84" s="28" t="str">
        <x:v>Indeed → Gupy — ISA Saúde</x:v>
      </x:c>
      <x:c r="C84" s="28" t="str">
        <x:v>Desenvolvedor(a) Full Stack</x:v>
      </x:c>
      <x:c r="D84" s="28" t="str">
        <x:v>Falha de formulário</x:v>
      </x:c>
      <x:c r="E84" s="28" t="str">
        <x:v>A página de perguntas personalizadas da Gupy permaneceu vazia e não avançou após salvar. Não houve confirmação de candidatura finalizada.</x:v>
      </x:c>
      <x:c r="F84" s="29" t="str">
        <x:v>Pendente</x:v>
      </x:c>
      <x:c r="G84" s="30" t="str">
        <x:v>Retomar pelo portal e resolver somente o carregamento normal.</x:v>
      </x:c>
    </x:row>
    <x:row r="85" ht="62" customHeight="1">
      <x:c r="A85" s="61" t="str">
        <x:v>30/09/2026</x:v>
      </x:c>
      <x:c r="B85" s="28" t="str">
        <x:v>Indeed → Sólides — ZOUPHY</x:v>
      </x:c>
      <x:c r="C85" s="28" t="str">
        <x:v>Desenvolvedor Front-end (React)</x:v>
      </x:c>
      <x:c r="D85" s="28" t="str">
        <x:v>Pendência de cadastro</x:v>
      </x:c>
      <x:c r="E85" s="28" t="str">
        <x:v>O perfil foi revisado; o Sólides exige CNH válida e pretensão salarial. Vídeo é opcional e não foi iniciado.</x:v>
      </x:c>
      <x:c r="F85" s="29" t="str">
        <x:v>Pendente</x:v>
      </x:c>
      <x:c r="G85" s="30" t="str">
        <x:v>Confirmar CNH antes de preencher e enviar.</x:v>
      </x:c>
    </x:row>
    <x:row r="86" ht="62" customHeight="1">
      <x:c r="A86" s="61" t="str">
        <x:v>30/09/2026</x:v>
      </x:c>
      <x:c r="B86" s="28" t="str">
        <x:v>Indeed — XP Inc.</x:v>
      </x:c>
      <x:c r="C86" s="28" t="str">
        <x:v>Engenheiro(a) de Software | Assistente e Júnior</x:v>
      </x:c>
      <x:c r="D86" s="28" t="str">
        <x:v>Deduplicação</x:v>
      </x:c>
      <x:c r="E86" s="28" t="str">
        <x:v>O Indeed apresentou um novo rascunho a 100%, mas já existe candidatura confirmada no controle para a mesma vaga. O rascunho foi salvo e fechado, sem novo envio.</x:v>
      </x:c>
      <x:c r="F86" s="29" t="str">
        <x:v>Registrado</x:v>
      </x:c>
      <x:c r="G86" s="30" t="str">
        <x:v>Manter a candidatura confirmada existente e acompanhar somente o convite PI pessoalmente.</x:v>
      </x:c>
    </x:row>
    <x:row r="87" ht="62" customHeight="1">
      <x:c r="A87" s="61" t="str">
        <x:v>30/09/2026</x:v>
      </x:c>
      <x:c r="B87" s="28" t="str">
        <x:v>Indeed → Gupy — Quality Digital</x:v>
      </x:c>
      <x:c r="C87" s="28" t="str">
        <x:v>Desenvolvedor Júnior</x:v>
      </x:c>
      <x:c r="D87" s="28" t="str">
        <x:v>Deduplicação e confirmação</x:v>
      </x:c>
      <x:c r="E87" s="28" t="str">
        <x:v>A Gupy confirmou novamente uma candidatura para a postagem atual, mas o controle já contém candidatura confirmada para a mesma empresa e título em 21/09. Nenhuma segunda linha foi criada para não inflar a contagem.</x:v>
      </x:c>
      <x:c r="F87" s="29" t="str">
        <x:v>Registrado</x:v>
      </x:c>
      <x:c r="G87" s="30" t="str">
        <x:v>Acompanhar a candidatura existente e evitar novo envio duplicado.</x:v>
      </x:c>
    </x:row>
    <x:row r="88" ht="62" customHeight="1">
      <x:c r="A88" s="61" t="str">
        <x:v>30/09/2026</x:v>
      </x:c>
      <x:c r="B88" s="28" t="str">
        <x:v>Indeed — Engemoura Tecnologia Energética</x:v>
      </x:c>
      <x:c r="C88" s="28" t="str">
        <x:v>Desenvolvedor</x:v>
      </x:c>
      <x:c r="D88" s="28" t="str">
        <x:v>Rascunho 100% e reCAPTCHA</x:v>
      </x:c>
      <x:c r="E88" s="28" t="str">
        <x:v>Currículo técnico selecionado e formulário completo, com vaga de R$3.000–6.000. Envio final bloqueado por reCAPTCHA; a verificação não foi contornada.</x:v>
      </x:c>
      <x:c r="F88" s="29" t="str">
        <x:v>Pendente</x:v>
      </x:c>
      <x:c r="G88" s="30" t="str">
        <x:v>Concluir a verificação normal no Indeed e confirmar o recibo.</x:v>
      </x:c>
    </x:row>
    <x:row r="89" ht="62" customHeight="1">
      <x:c r="A89" s="61" t="str">
        <x:v>30/09/2026</x:v>
      </x:c>
      <x:c r="B89" s="28" t="str">
        <x:v>Indeed — Digisystem</x:v>
      </x:c>
      <x:c r="C89" s="28" t="str">
        <x:v>Analista de Desenvolvimento Jr</x:v>
      </x:c>
      <x:c r="D89" s="28" t="str">
        <x:v>Rascunho 100% e reCAPTCHA</x:v>
      </x:c>
      <x:c r="E89" s="28" t="str">
        <x:v>Formulário completo e salvo por 14 dias. A vaga aceita projetos pessoais/estágio e formação em andamento; envio final bloqueado por reCAPTCHA.</x:v>
      </x:c>
      <x:c r="F89" s="29" t="str">
        <x:v>Pendente</x:v>
      </x:c>
      <x:c r="G89" s="30" t="str">
        <x:v>Concluir a verificação normal no Indeed e confirmar o recibo.</x:v>
      </x:c>
    </x:row>
    <x:row r="90" ht="62" customHeight="1">
      <x:c r="A90" s="61" t="str">
        <x:v>30/09/2026</x:v>
      </x:c>
      <x:c r="B90" s="28" t="str">
        <x:v>Indeed — Keyrus Brazil</x:v>
      </x:c>
      <x:c r="C90" s="28" t="str">
        <x:v>Data Engineer Jr (Snowflake)</x:v>
      </x:c>
      <x:c r="D90" s="28" t="str">
        <x:v>Rascunho 100% e reCAPTCHA</x:v>
      </x:c>
      <x:c r="E90" s="28" t="str">
        <x:v>Formulário completo e salvo por 14 dias; SQL, Python, GCP e ETL/ELT foram valorizados, sem alegar Snowflake/dbt como experiência. Envio final bloqueado por reCAPTCHA.</x:v>
      </x:c>
      <x:c r="F90" s="29" t="str">
        <x:v>Pendente</x:v>
      </x:c>
      <x:c r="G90" s="30" t="str">
        <x:v>Concluir a verificação normal no Indeed e confirmar o recibo.</x:v>
      </x:c>
    </x:row>
    <x:row r="91" ht="62" customHeight="1">
      <x:c r="A91" s="61" t="str">
        <x:v>30/09/2026</x:v>
      </x:c>
      <x:c r="B91" s="28" t="str">
        <x:v>Indeed — VESTE SA ESTILO</x:v>
      </x:c>
      <x:c r="C91" s="28" t="str">
        <x:v>Desenvolvedor Full Stack Jr</x:v>
      </x:c>
      <x:c r="D91" s="28" t="str">
        <x:v>Rascunho 100% e reCAPTCHA</x:v>
      </x:c>
      <x:c r="E91" s="28" t="str">
        <x:v>Formulário completo e salvo por 14 dias com currículo técnico. A vaga é aderente a React, TypeScript, Node, APIs, Git e testes; envio final bloqueado por reCAPTCHA.</x:v>
      </x:c>
      <x:c r="F91" s="29" t="str">
        <x:v>Pendente</x:v>
      </x:c>
      <x:c r="G91" s="30" t="str">
        <x:v>Concluir a verificação normal no Indeed e confirmar o recibo.</x:v>
      </x:c>
    </x:row>
    <x:row r="92" ht="62" customHeight="1">
      <x:c r="A92" s="61" t="str">
        <x:v>30/09/2026</x:v>
      </x:c>
      <x:c r="B92" s="28" t="str">
        <x:v>Indeed — Assertiv</x:v>
      </x:c>
      <x:c r="C92" s="28" t="str">
        <x:v>Analista de desenvolvedor JavaScript</x:v>
      </x:c>
      <x:c r="D92" s="28" t="str">
        <x:v>Requisito de experiência não verificável</x:v>
      </x:c>
      <x:c r="E92" s="28" t="str">
        <x:v>O formulário exige ao menos um ano numérico de experiência em tecnologias e no cargo. Sem período confirmado pelo candidato, o rascunho foi salvo a 50% sem inventar tempo de experiência.</x:v>
      </x:c>
      <x:c r="F92" s="29" t="str">
        <x:v>Pendente</x:v>
      </x:c>
      <x:c r="G92" s="30" t="str">
        <x:v>Confirmar o período factual que pode ser declarado antes de enviar.</x:v>
      </x:c>
    </x:row>
    <x:row r="93" ht="62" customHeight="1">
      <x:c r="A93" s="61" t="str">
        <x:v>30/09/2026</x:v>
      </x:c>
      <x:c r="B93" s="28" t="str">
        <x:v>Indeed → Gupy — Saquers Tech</x:v>
      </x:c>
      <x:c r="C93" s="28" t="str">
        <x:v>Desenvolvedor(a) Node I</x:v>
      </x:c>
      <x:c r="D93" s="28" t="str">
        <x:v>Dado pessoal obrigatório faltante</x:v>
      </x:c>
      <x:c r="E93" s="28" t="str">
        <x:v>A Gupy exigiu nome completo do pai, além de RG, nome da mãe, pretensão e experiência. O dado não foi fornecido, portanto não foi inventado nem houve envio.</x:v>
      </x:c>
      <x:c r="F93" s="29" t="str">
        <x:v>Pendente</x:v>
      </x:c>
      <x:c r="G93" s="30" t="str">
        <x:v>Informar o nome do pai para concluir as perguntas.</x:v>
      </x:c>
    </x:row>
    <x:row r="94" ht="62" customHeight="1">
      <x:c r="A94" s="61" t="str">
        <x:v>30/09/2026</x:v>
      </x:c>
      <x:c r="B94" s="28" t="str">
        <x:v>Indeed → Gupy — v(dev)/Visagio</x:v>
      </x:c>
      <x:c r="C94" s="28" t="str">
        <x:v>Estágio Desenvolvedor(a) de Software</x:v>
      </x:c>
      <x:c r="D94" s="28" t="str">
        <x:v>Dados acadêmicos obrigatórios</x:v>
      </x:c>
      <x:c r="E94" s="28" t="str">
        <x:v>O banco de talentos exige CR e grade horária detalhada. Os dados não foram fornecidos nem estimados; não houve candidatura confirmada.</x:v>
      </x:c>
      <x:c r="F94" s="29" t="str">
        <x:v>Pendente</x:v>
      </x:c>
      <x:c r="G94" s="30" t="str">
        <x:v>Informar CR e horários reais da faculdade.</x:v>
      </x:c>
    </x:row>
    <x:row r="95" ht="62" customHeight="1">
      <x:c r="A95" s="61" t="str">
        <x:v>30/09/2026</x:v>
      </x:c>
      <x:c r="B95" s="28" t="str">
        <x:v>Indeed — NSTECH / eFrete</x:v>
      </x:c>
      <x:c r="C95" s="28" t="str">
        <x:v>Analista de Dados Jr</x:v>
      </x:c>
      <x:c r="D95" s="28" t="str">
        <x:v>Rascunho 100% e reCAPTCHA</x:v>
      </x:c>
      <x:c r="E95" s="28" t="str">
        <x:v>LinkedIn, CPF, disponibilidade, pretensão e autoidentificação foram preenchidos de forma factual; rascunho salvo por 14 dias. Envio final bloqueado por reCAPTCHA.</x:v>
      </x:c>
      <x:c r="F95" s="29" t="str">
        <x:v>Pendente</x:v>
      </x:c>
      <x:c r="G95" s="30" t="str">
        <x:v>Concluir a verificação normal no Indeed e confirmar o recibo.</x:v>
      </x:c>
    </x:row>
    <x:row r="96" ht="62" customHeight="1">
      <x:c r="A96" s="61" t="str">
        <x:v>30/09/2026</x:v>
      </x:c>
      <x:c r="B96" s="28" t="str">
        <x:v>Indeed — TechBrabo / MONT SEGURO</x:v>
      </x:c>
      <x:c r="C96" s="28" t="str">
        <x:v>Desenvolvedor Full Stack Jr</x:v>
      </x:c>
      <x:c r="D96" s="28" t="str">
        <x:v>Rascunho 100% e reCAPTCHA</x:v>
      </x:c>
      <x:c r="E96" s="28" t="str">
        <x:v>Vaga de R$3.300 PJ; currículo e dados cadastrais factuais preenchidos, rascunho salvo por 14 dias. Envio final bloqueado por reCAPTCHA.</x:v>
      </x:c>
      <x:c r="F96" s="29" t="str">
        <x:v>Pendente</x:v>
      </x:c>
      <x:c r="G96" s="30" t="str">
        <x:v>Concluir a verificação normal no Indeed e confirmar o recibo.</x:v>
      </x:c>
    </x:row>
    <x:row r="97" ht="62" customHeight="1">
      <x:c r="A97" s="61" t="str">
        <x:v>30/09/2026</x:v>
      </x:c>
      <x:c r="B97" s="28" t="str">
        <x:v>Indeed → Sólides — Grupo Costa Norte</x:v>
      </x:c>
      <x:c r="C97" s="28" t="str">
        <x:v>Desenvolvedor de Software Júnior</x:v>
      </x:c>
      <x:c r="D97" s="28" t="str">
        <x:v>Profiler comportamental</x:v>
      </x:c>
      <x:c r="E97" s="28" t="str">
        <x:v>Currículo técnico revisado e salvo para vaga CLT de R$3.500; vídeo era opcional e não foi iniciado. A plataforma apresentou Profiler antes do avanço final; a candidatura não foi enviada.</x:v>
      </x:c>
      <x:c r="F97" s="29" t="str">
        <x:v>Pendente</x:v>
      </x:c>
      <x:c r="G97" s="30" t="str">
        <x:v>Realizar o Profiler pessoalmente caso decida avançar.</x:v>
      </x:c>
    </x:row>
    <x:row r="98" ht="62" customHeight="1">
      <x:c r="A98" s="61" t="str">
        <x:v>30/09/2026</x:v>
      </x:c>
      <x:c r="B98" s="28" t="str">
        <x:v>Indeed → Jobbol — IVO Services</x:v>
      </x:c>
      <x:c r="C98" s="28" t="str">
        <x:v>Analista de Sistemas em Aplicações e Full Stack Júnior</x:v>
      </x:c>
      <x:c r="D98" s="28" t="str">
        <x:v>Candidatura enviada</x:v>
      </x:c>
      <x:c r="E98" s="28" t="str">
        <x:v>Formulário enviado com dados factuais. O Jobbol exibiu 'Candidatura registrada com sucesso!' e protocolo DX0634400, além de aviso de e-mail e contato posterior escrito por WhatsApp.</x:v>
      </x:c>
      <x:c r="F98" s="29" t="str">
        <x:v>Concluído</x:v>
      </x:c>
      <x:c r="G98" s="30" t="str">
        <x:v>Acompanhar o e-mail e o contato escrito; validar formato de qualquer próxima etapa.</x:v>
      </x:c>
    </x:row>
    <x:row r="99" ht="62" customHeight="1">
      <x:c r="A99" s="61" t="str">
        <x:v>30/09/2026</x:v>
      </x:c>
      <x:c r="B99" s="28" t="str">
        <x:v>Indeed → Jobbol — Kriativa</x:v>
      </x:c>
      <x:c r="C99" s="28" t="str">
        <x:v>Desenvolvedor Júnior de Automação</x:v>
      </x:c>
      <x:c r="D99" s="28" t="str">
        <x:v>Candidatura enviada</x:v>
      </x:c>
      <x:c r="E99" s="28" t="str">
        <x:v>O Jobbol exibiu 'Candidatura registrada com sucesso!' e protocolo CW1953700 para vaga com salário oficial de R$3.000. Nenhuma etapa audiovisual ou avaliação foi iniciada.</x:v>
      </x:c>
      <x:c r="F99" s="29" t="str">
        <x:v>Concluído</x:v>
      </x:c>
      <x:c r="G99" s="30" t="str">
        <x:v>Acompanhar confirmação por e-mail e quaisquer etapas posteriores em formato escrito.</x:v>
      </x:c>
    </x:row>
    <x:row r="100" ht="62" customHeight="1">
      <x:c r="A100" s="61" t="str">
        <x:v>30/09/2026</x:v>
      </x:c>
      <x:c r="B100" s="28" t="str">
        <x:v>Indeed — UP Brasil, Housi e Planeta do Bebê</x:v>
      </x:c>
      <x:c r="C100" s="28" t="str">
        <x:v>Analista Sistemas Jr; Analista Dados Jr; Dev Python/Frontend Jr</x:v>
      </x:c>
      <x:c r="D100" s="28" t="str">
        <x:v>Rascunhos e bloqueios reais</x:v>
      </x:c>
      <x:c r="E100" s="28" t="str">
        <x:v>UP Brasil ficou salvo a 100% por reCAPTCHA normal. Housi ficou salvo a 38% por carregamento do formulário. Planeta do Bebê exigiu Profiler comportamental antes do envio. Nenhum bloqueio foi burlado e nenhuma avaliação foi respondida.</x:v>
      </x:c>
      <x:c r="F100" s="29" t="str">
        <x:v>Pendente</x:v>
      </x:c>
      <x:c r="G100" s="30" t="str">
        <x:v>Retomar por Minhas Vagas ou plataforma respectiva com a ação indicada no controle.</x:v>
      </x:c>
    </x:row>
    <x:row r="101" ht="62" customHeight="1">
      <x:c r="A101" s="61" t="str">
        <x:v>30/09/2026</x:v>
      </x:c>
      <x:c r="B101" s="28" t="str">
        <x:v>Indeed — Partner Soluções Empresariais</x:v>
      </x:c>
      <x:c r="C101" s="28" t="str">
        <x:v>Desenvolvedor de Sistemas Júnior</x:v>
      </x:c>
      <x:c r="D101" s="28" t="str">
        <x:v>Anúncio expirado</x:v>
      </x:c>
      <x:c r="E101" s="28" t="str">
        <x:v>O Indeed confirmou que a vaga de R$3.000–5.000 expirou durante a revalidação, antes de qualquer candidatura.</x:v>
      </x:c>
      <x:c r="F101" s="29" t="str">
        <x:v>Encerrado</x:v>
      </x:c>
      <x:c r="G101" s="30" t="str">
        <x:v>Monitorar repostagem equivalente; não tentar candidatura no anúncio encerrado.</x:v>
      </x:c>
    </x:row>
    <x:row r="102" ht="62" customHeight="1">
      <x:c r="A102" s="61" t="str">
        <x:v>30/09/2026</x:v>
      </x:c>
      <x:c r="B102" s="28" t="str">
        <x:v>Indeed — fila revalidada de salário divulgado</x:v>
      </x:c>
      <x:c r="C102" s="28" t="str">
        <x:v>Juriscont, RH Sales Center, ASC Brazil, IB Comércio e Partners Comunicação</x:v>
      </x:c>
      <x:c r="D102" s="28" t="str">
        <x:v>Fila de alta prioridade</x:v>
      </x:c>
      <x:c r="E102" s="28" t="str">
        <x:v>Foram identificadas vagas técnicas a partir de R$3.500 e com aderência real a React/Node, APIs, SQL, Docker, automação e IA. Nenhum formulário foi iniciado depois que a conexão automática do Firefox com o Indeed foi perdida.</x:v>
      </x:c>
      <x:c r="F102" s="29" t="str">
        <x:v>Pendente</x:v>
      </x:c>
      <x:c r="G102" s="30" t="str">
        <x:v>Retomar uma a uma, revalidar cada anúncio e personalizar a candidatura antes de enviar.</x:v>
      </x:c>
    </x:row>
    <x:row r="103" ht="62" customHeight="1">
      <x:c r="A103" s="61" t="str">
        <x:v>30/09/2026</x:v>
      </x:c>
      <x:c r="B103" s="28" t="str">
        <x:v>Indeed — navegador</x:v>
      </x:c>
      <x:c r="C103" s="28" t="str">
        <x:v>Sessão de automação</x:v>
      </x:c>
      <x:c r="D103" s="28" t="str">
        <x:v>Conexão indisponível</x:v>
      </x:c>
      <x:c r="E103" s="28" t="str">
        <x:v>A extensão/sessão que lista e controla as abas do Firefox deixou de responder. Foi feito novo teste após abrir o Firefox, mas não houve conexão de extensão; a busca e a fila foram preservadas no controle.</x:v>
      </x:c>
      <x:c r="F103" s="29" t="str">
        <x:v>Pendente</x:v>
      </x:c>
      <x:c r="G103" s="30" t="str">
        <x:v>Reconectar a extensão do Firefox e retomar a fila por prioridade, mantendo uma aba por vez.</x:v>
      </x:c>
    </x:row>
    <x:row r="104">
      <x:c r="A104" s="61" t="str">
        <x:v>02/10/2026</x:v>
      </x:c>
      <x:c r="B104" s="28" t="str">
        <x:v>Currículo mestre</x:v>
      </x:c>
      <x:c r="C104" s="28" t="str">
        <x:v>Atualização factual do perfil</x:v>
      </x:c>
      <x:c r="D104" s="28" t="str">
        <x:v>CV atualizado</x:v>
      </x:c>
      <x:c r="E104" s="28" t="str">
        <x:v>Foi gerado currículo mestre em português com experiência profissional full stack na Performance Lab desde dez/2025 e atuação via CNPJ em software e automação, incluindo NOW PRO com PHP, frontend, scraping e integrações de APIs.</x:v>
      </x:c>
      <x:c r="F104" s="29" t="str">
        <x:v>Concluído</x:v>
      </x:c>
      <x:c r="G104" s="30" t="str">
        <x:v>Usar este CV nas próximas candidaturas e substituir o arquivo nos perfis quando o Firefox voltar a responder.</x:v>
      </x:c>
    </x:row>
    <x:row r="105">
      <x:c r="A105" s="61" t="str">
        <x:v>02/10/2026</x:v>
      </x:c>
      <x:c r="B105" s="28" t="str">
        <x:v>Catho e InfoJobs</x:v>
      </x:c>
      <x:c r="C105" s="28" t="str">
        <x:v>10 candidaturas técnicas</x:v>
      </x:c>
      <x:c r="D105" s="28" t="str">
        <x:v>Candidaturas confirmadas</x:v>
      </x:c>
      <x:c r="E105" s="28" t="str">
        <x:v>Foram confirmadas duas candidaturas no Catho e oito no InfoJobs, com links e próximos passos registrados no controle. Foram usadas respostas factuais e cartas personalizadas; nenhuma avaliação, áudio ou vídeo foi iniciado.</x:v>
      </x:c>
      <x:c r="F105" s="29" t="str">
        <x:v>Concluído</x:v>
      </x:c>
      <x:c r="G105" s="30" t="str">
        <x:v>Acompanhar e-mail e portais. Se recrutadores retomarem formulários antigos, atualizar as respostas que ficaram desatualizadas após a correção do histórico full stack.</x:v>
      </x:c>
    </x:row>
    <x:row r="106">
      <x:c r="A106" s="61" t="str">
        <x:v>02/10/2026</x:v>
      </x:c>
      <x:c r="B106" s="28" t="str">
        <x:v>Firefox / perfis</x:v>
      </x:c>
      <x:c r="C106" s="28" t="str">
        <x:v>Gupy, InfoJobs, Catho e Indeed</x:v>
      </x:c>
      <x:c r="D106" s="28" t="str">
        <x:v>Atualização de currículo pendente</x:v>
      </x:c>
      <x:c r="E106" s="28" t="str">
        <x:v>O currículo mestre está pronto para upload, mas a extensão do Firefox ficou conectada sem responder a listagem, leitura ou manipulação de abas. Nenhum perfil foi alterado sem confirmação visível.</x:v>
      </x:c>
      <x:c r="F106" s="29" t="str">
        <x:v>Pendente</x:v>
      </x:c>
      <x:c r="G106" s="30" t="str">
        <x:v>Reconectar a sessão/ponte do Firefox, revisar as abas abertas antes de fechar e substituir o CV nos quatro portais.</x:v>
      </x:c>
    </x:row>
    <x:row r="107">
      <x:c r="A107" s="61" t="str">
        <x:v>02/10/2026</x:v>
      </x:c>
      <x:c r="B107" s="28" t="str">
        <x:v>InfoJobs</x:v>
      </x:c>
      <x:c r="C107" s="28" t="str">
        <x:v>Macam Brasil - Desenvolvedor de Software</x:v>
      </x:c>
      <x:c r="D107" s="28" t="str">
        <x:v>Informação obrigatória pendente</x:v>
      </x:c>
      <x:c r="E107" s="28" t="str">
        <x:v>A candidatura não foi enviada porque o formulário perguntou se o candidato mora em Pirituba/Jaraguá. O endereço não foi confirmado e a resposta não foi presumida.</x:v>
      </x:c>
      <x:c r="F107" s="29" t="str">
        <x:v>Pendente</x:v>
      </x:c>
      <x:c r="G107" s="30" t="str">
        <x:v>Confirmar a localização real antes de responder e concluir a candidatura.</x:v>
      </x:c>
    </x:row>
    <x:row r="108">
      <x:c r="A108" s="61" t="str">
        <x:v>02/10/2026</x:v>
      </x:c>
      <x:c r="B108" s="28" t="str">
        <x:v>Critérios de busca</x:v>
      </x:c>
      <x:c r="C108" s="28" t="str">
        <x:v>Senioridade</x:v>
      </x:c>
      <x:c r="D108" s="28" t="str">
        <x:v>Regra atualizada</x:v>
      </x:c>
      <x:c r="E108" s="28" t="str">
        <x:v>A busca passa a excluir vagas sênior. A prioridade é júnior, trainee, assistente e entry level; vagas pleno entram somente quando os requisitos reais forem compatíveis com perfil júnior.</x:v>
      </x:c>
      <x:c r="F108" s="29" t="str">
        <x:v>Concluído</x:v>
      </x:c>
      <x:c r="G108" s="30" t="str">
        <x:v>Aplicar esta regra à fila existente e a todas as novas pesquisas.</x:v>
      </x:c>
    </x:row>
    <x:row r="109">
      <x:c r="A109" s="61" t="str">
        <x:v>02/10/2026</x:v>
      </x:c>
      <x:c r="B109" s="28" t="str">
        <x:v>Pesquisa São Paulo / Grande SP</x:v>
      </x:c>
      <x:c r="C109" s="28" t="str">
        <x:v>Fila júnior e pleno compatível</x:v>
      </x:c>
      <x:c r="D109" s="28" t="str">
        <x:v>Vagas priorizadas</x:v>
      </x:c>
      <x:c r="E109" s="28" t="str">
        <x:v>Foram registradas oportunidades júnior e uma exceção pleno com requisitos júnior-compatíveis. Vagas sênior, staff, liderança e pleno com exigência acima do perfil foram excluídas da fila.</x:v>
      </x:c>
      <x:c r="F109" s="29" t="str">
        <x:v>Concluído</x:v>
      </x:c>
      <x:c r="G109" s="30" t="str">
        <x:v>Revalidar os anúncios um a um antes de candidatar; não duplicar as candidaturas já registradas.</x:v>
      </x:c>
    </x:row>
    <x:row r="110">
      <x:c r="A110" s="61" t="str">
        <x:v>02/10/2026</x:v>
      </x:c>
      <x:c r="B110" s="28" t="str">
        <x:v>Gupy</x:v>
      </x:c>
      <x:c r="C110" s="28" t="str">
        <x:v>Perfil global</x:v>
      </x:c>
      <x:c r="D110" s="28" t="str">
        <x:v>Currículo e experiência atualizados</x:v>
      </x:c>
      <x:c r="E110" s="28" t="str">
        <x:v>O perfil foi atualizado com a experiência profissional full stack na Performance Lab e a atuação autônoma via CNPJ em software, automação, PHP, frontend, scraping e integrações de APIs. A plataforma informa que alterações de currículo são refletidas nas candidaturas ativas.</x:v>
      </x:c>
      <x:c r="F110" s="29" t="str">
        <x:v>Concluído</x:v>
      </x:c>
      <x:c r="G110" s="30" t="str">
        <x:v>Usar o perfil como fonte nas próximas vagas Gupy; revisar somente perguntas específicas de cada empresa.</x:v>
      </x:c>
    </x:row>
    <x:row r="111">
      <x:c r="A111" s="61" t="str">
        <x:v>02/10/2026</x:v>
      </x:c>
      <x:c r="B111" s="28" t="str">
        <x:v>InfoJobs</x:v>
      </x:c>
      <x:c r="C111" s="28" t="str">
        <x:v>Perfil e pretensão</x:v>
      </x:c>
      <x:c r="D111" s="28" t="str">
        <x:v>Resumo atualizado</x:v>
      </x:c>
      <x:c r="E111" s="28" t="str">
        <x:v>O resumo foi atualizado de forma factual com Performance Lab, .NET/C#, React/TypeScript, PostgreSQL, APIs, automação e experiência autônoma. A pretensão mínima foi ajustada para R$ 3.000.</x:v>
      </x:c>
      <x:c r="F111" s="29" t="str">
        <x:v>Concluído</x:v>
      </x:c>
      <x:c r="G111" s="30" t="str">
        <x:v>Acompanhar convites e usar o currículo mestre nas novas candidaturas.</x:v>
      </x:c>
    </x:row>
    <x:row r="112">
      <x:c r="A112" s="61" t="str">
        <x:v>02/10/2026</x:v>
      </x:c>
      <x:c r="B112" s="28" t="str">
        <x:v>UOL EdTech / Gupy</x:v>
      </x:c>
      <x:c r="C112" s="28" t="str">
        <x:v>Engenheiro de Software Jr. (Node.js / React.js)</x:v>
      </x:c>
      <x:c r="D112" s="28" t="str">
        <x:v>Candidatura finalizada</x:v>
      </x:c>
      <x:c r="E112" s="28" t="str">
        <x:v>O formulário foi concluído e a Gupy exibiu a confirmação de candidatura finalizada. A apresentação foi personalizada com experiência profissional full stack factual, sem exagerar experiência em Node.js.</x:v>
      </x:c>
      <x:c r="F112" s="29" t="str">
        <x:v>Concluído</x:v>
      </x:c>
      <x:c r="G112" s="30" t="str">
        <x:v>Acompanhar e-mail e portal. Uma etapa futura de teste deve ser realizada pessoalmente pelo candidato, se for solicitada.</x:v>
      </x:c>
    </x:row>
    <x:row r="113">
      <x:c r="A113" s="61" t="str">
        <x:v>02/10/2026</x:v>
      </x:c>
      <x:c r="B113" s="28" t="str">
        <x:v>Afya / Gupy</x:v>
      </x:c>
      <x:c r="C113" s="28" t="str">
        <x:v>Analista de Dados Júnior</x:v>
      </x:c>
      <x:c r="D113" s="28" t="str">
        <x:v>Candidatura validada</x:v>
      </x:c>
      <x:c r="E113" s="28" t="str">
        <x:v>A candidatura já existente foi revisada e a Gupy exibiu confirmação de candidatura finalizada após a personalização factual voltada a SQL, Python, dados, automação e produto B2B.</x:v>
      </x:c>
      <x:c r="F113" s="29" t="str">
        <x:v>Concluído</x:v>
      </x:c>
      <x:c r="G113" s="30" t="str">
        <x:v>Não duplicar a candidatura; acompanhar e-mail e portal.</x:v>
      </x:c>
    </x:row>
    <x:row r="114">
      <x:c r="A114" s="61" t="str">
        <x:v>02/10/2026</x:v>
      </x:c>
      <x:c r="B114" s="28" t="str">
        <x:v>B2Finance / H&amp;CO</x:v>
      </x:c>
      <x:c r="C114" s="28" t="str">
        <x:v>Full Stack Júnior</x:v>
      </x:c>
      <x:c r="D114" s="28" t="str">
        <x:v>Duplicidade evitada</x:v>
      </x:c>
      <x:c r="E114" s="28" t="str">
        <x:v>O portal InfoJobs/Pandapé reconheceu a participação já existente com o e-mail cadastrado. Nenhuma candidatura duplicada foi enviada.</x:v>
      </x:c>
      <x:c r="F114" s="29" t="str">
        <x:v>Concluído</x:v>
      </x:c>
      <x:c r="G114" s="30" t="str">
        <x:v>Acompanhar e-mail e portal.</x:v>
      </x:c>
    </x:row>
    <x:row r="115">
      <x:c r="A115" s="61" t="str">
        <x:v>02/10/2026</x:v>
      </x:c>
      <x:c r="B115" s="28" t="str">
        <x:v>Serasa Experian</x:v>
      </x:c>
      <x:c r="C115" s="28" t="str">
        <x:v>Analista de Desenvolvimento de Software I — Backend Java</x:v>
      </x:c>
      <x:c r="D115" s="28" t="str">
        <x:v>Formulário preparado</x:v>
      </x:c>
      <x:c r="E115" s="28" t="str">
        <x:v>A vaga home office foi validada e o formulário SmartRecruiters foi aberto. O portal exige anexar o PDF local antes do envio; a mensagem de apresentação foi preparada de forma factual.</x:v>
      </x:c>
      <x:c r="F115" s="29" t="str">
        <x:v>Pendente</x:v>
      </x:c>
      <x:c r="G115" s="30" t="str">
        <x:v>Anexar o currículo mestre e enviar somente após revisão final do formulário.</x:v>
      </x:c>
    </x:row>
    <x:row r="116">
      <x:c r="A116" s="61" t="str">
        <x:v>02/10/2026</x:v>
      </x:c>
      <x:c r="B116" s="28" t="str">
        <x:v>Firefox / perfis</x:v>
      </x:c>
      <x:c r="C116" s="28" t="str">
        <x:v>Sessão e perfil TOTVS RH</x:v>
      </x:c>
      <x:c r="D116" s="28" t="str">
        <x:v>Conexão restabelecida e perfil corrigido</x:v>
      </x:c>
      <x:c r="E116" s="28" t="str">
        <x:v>O Firefox voltou a responder. No perfil TOTVS RH, o cargo-alvo foi corrigido para Desenvolvedor Full Stack, o resumo profissional foi reescrito de forma técnica, a faixa desejada foi atualizada para R$ 3.000–R$ 7.000, o LinkedIn foi corrigido e Performance Lab foi adicionada como experiência profissional; a Falcon foi mantida como experiência comercial com término em nov/2025.</x:v>
      </x:c>
      <x:c r="F116" s="29" t="str">
        <x:v>Concluído</x:v>
      </x:c>
      <x:c r="G116" s="30" t="str">
        <x:v>Anexo de currículo depende de upload local no portal; usar o PDF mestre atual quando o controle de upload estiver disponível.</x:v>
      </x:c>
    </x:row>
    <x:row r="117">
      <x:c r="A117" s="61" t="str">
        <x:v>02/10/2026</x:v>
      </x:c>
      <x:c r="B117" s="28" t="str">
        <x:v>SoftExpert, Skeelo e Bullla</x:v>
      </x:c>
      <x:c r="C117" s="28" t="str">
        <x:v>Três candidaturas técnicas</x:v>
      </x:c>
      <x:c r="D117" s="28" t="str">
        <x:v>Candidaturas confirmadas</x:v>
      </x:c>
      <x:c r="E117" s="28" t="str">
        <x:v>Foram confirmadas candidaturas para Full Stack Jr. remoto na SoftExpert, Backend Engineer I remoto na Skeelo e Analista de Dados Jr. híbrido na Bullla. As apresentações foram adaptadas ao cargo e mantiveram Performance Lab, NOW PRO e os gaps técnicos de forma honesta.</x:v>
      </x:c>
      <x:c r="F117" s="29" t="str">
        <x:v>Concluído</x:v>
      </x:c>
      <x:c r="G117" s="30" t="str">
        <x:v>Acompanhar e-mail e portal. Qualquer avaliação comportamental, técnica ou entrevista deve ser realizada pessoalmente pelo candidato.</x:v>
      </x:c>
    </x:row>
    <x:row r="118">
      <x:c r="A118" s="61" t="str">
        <x:v>02/10/2026</x:v>
      </x:c>
      <x:c r="B118" s="28" t="str">
        <x:v>Gupy</x:v>
      </x:c>
      <x:c r="C118" s="28" t="str">
        <x:v>Viceri, ISA Saúde e Construmarket</x:v>
      </x:c>
      <x:c r="D118" s="28" t="str">
        <x:v>Três candidaturas personalizadas finalizadas</x:v>
      </x:c>
      <x:c r="E118" s="28" t="str">
        <x:v>Foram finalizadas candidaturas para Viceri Full Stack Jr. remoto, ISA Saúde Desenvolvedor Jr. híbrido em São Paulo e Construmarket Desenvolvedor Jr. remoto. Cada texto foi adaptado aos requisitos reais, destacando Performance Lab, .NET/C#, React/TypeScript, PostgreSQL, APIs, integrações e pontos de estudo sem inflar experiência.</x:v>
      </x:c>
      <x:c r="F118" s="29" t="str">
        <x:v>Concluído</x:v>
      </x:c>
      <x:c r="G118" s="30" t="str">
        <x:v>Viceri e Construmarket podem encaminhar avaliação comportamental/lógica/técnica em fase futura; não iniciar avaliações sem o candidato presente.</x:v>
      </x:c>
    </x:row>
    <x:row r="119">
      <x:c r="A119" s="61" t="str">
        <x:v>02/10/2026</x:v>
      </x:c>
      <x:c r="B119" s="28" t="str">
        <x:v>Gupy</x:v>
      </x:c>
      <x:c r="C119" s="28" t="str">
        <x:v>Atento TI e Cuattro</x:v>
      </x:c>
      <x:c r="D119" s="28" t="str">
        <x:v>Filtros técnicos identificados</x:v>
      </x:c>
      <x:c r="E119" s="28" t="str">
        <x:v>As duas candidaturas foram finalizadas com respostas factuais. A Atento eliminou por SQL Server obrigatório; a Cuattro eliminou por Node.js prático e NoSQL. Na Cuattro, as respostas eliminatórias estavam previamente bloqueadas e não foram alteradas.</x:v>
      </x:c>
      <x:c r="F119" s="29" t="str">
        <x:v>Concluído</x:v>
      </x:c>
      <x:c r="G119" s="30" t="str">
        <x:v>Usar os filtros como orientação de estudo e evitar reaplicação duplicada nas mesmas vagas.</x:v>
      </x:c>
    </x:row>
    <x:row r="120">
      <x:c r="A120" s="61" t="str">
        <x:v>02/10/2026</x:v>
      </x:c>
      <x:c r="B120" s="28" t="str">
        <x:v>Gupy</x:v>
      </x:c>
      <x:c r="C120" s="28" t="str">
        <x:v>Suhai Seguradora - Analista de Dados Júnior</x:v>
      </x:c>
      <x:c r="D120" s="28" t="str">
        <x:v>Candidatura personalizada finalizada</x:v>
      </x:c>
      <x:c r="E120" s="28" t="str">
        <x:v>Foi finalizada a candidatura híbrida em São Paulo para Analista de Dados Júnior. A apresentação destacou SQL, Python, PostgreSQL, automação, dados operacionais, Excel avançado e Performance Lab sem alegar domínio em Power BI ou Databricks.</x:v>
      </x:c>
      <x:c r="F120" s="29" t="str">
        <x:v>Concluído</x:v>
      </x:c>
      <x:c r="G120" s="30" t="str">
        <x:v>Mapeamento comportamental futuro deve ser realizado pessoalmente pelo candidato.</x:v>
      </x:c>
    </x:row>
    <x:row r="121">
      <x:c r="A121" s="61" t="str">
        <x:v>02/10/2026</x:v>
      </x:c>
      <x:c r="B121" s="28" t="str">
        <x:v>Gupy</x:v>
      </x:c>
      <x:c r="C121" s="28" t="str">
        <x:v>Minsait - Analista de Dados Jr - Osasco/SP</x:v>
      </x:c>
      <x:c r="D121" s="28" t="str">
        <x:v>Candidatura personalizada finalizada</x:v>
      </x:c>
      <x:c r="E121" s="28" t="str">
        <x:v>Foi concluída a candidatura CLT híbrida para dados, automação e meios de pagamento em Osasco. A apresentação conectou o trabalho full stack na Performance Lab/KNOTEN a Python, SQL, PostgreSQL, APIs, automação, testes e análise de dados, deixando R, SAS e contexto bancário como pontos de aprofundamento. A empresa informa que uma entrevista técnica futura será gravada; nenhum teste ou entrevista foi iniciado.</x:v>
      </x:c>
      <x:c r="F121" s="29" t="str">
        <x:v>Concluído</x:v>
      </x:c>
      <x:c r="G121" s="30" t="str">
        <x:v>Acompanhar e-mail e portal. Se houver entrevista técnica gravada, ela deve ser realizada pessoalmente pelo candidato.</x:v>
      </x:c>
    </x:row>
    <x:row r="122">
      <x:c r="A122" s="61" t="str">
        <x:v>02/10/2026</x:v>
      </x:c>
      <x:c r="B122" s="28" t="str">
        <x:v>Catho</x:v>
      </x:c>
      <x:c r="C122" s="28" t="str">
        <x:v>Perfil profissional</x:v>
      </x:c>
      <x:c r="D122" s="28" t="str">
        <x:v>Perfil e experiências atualizados</x:v>
      </x:c>
      <x:c r="E122" s="28" t="str">
        <x:v>O perfil foi alinhado ao currículo mestre: objetivo Desenvolvedor Full Stack, pretensão a partir de R$ 3.000, resumo com Performance Lab/KNOTEN e NOW PRO, competências técnicas atualizadas e duas experiências profissionais descritas com foco full stack.</x:v>
      </x:c>
      <x:c r="F122" s="29" t="str">
        <x:v>Concluído</x:v>
      </x:c>
      <x:c r="G122" s="30" t="str">
        <x:v>O portal confirmou cada atualização. Não refazer testes de habilidade em nome do candidato.</x:v>
      </x:c>
    </x:row>
    <x:row r="123">
      <x:c r="A123" s="61" t="str">
        <x:v>02/10/2026</x:v>
      </x:c>
      <x:c r="B123" s="28" t="str">
        <x:v>Catho</x:v>
      </x:c>
      <x:c r="C123" s="28" t="str">
        <x:v>JETSOFT e MEOSST</x:v>
      </x:c>
      <x:c r="D123" s="28" t="str">
        <x:v>Duas candidaturas confirmadas</x:v>
      </x:c>
      <x:c r="E123" s="28" t="str">
        <x:v>Foram enviadas candidaturas para Desenvolvedor(a) Fullstack CLT híbrido na JETSOFT e Desenvolvedor Full Stack Pleno PJ na MEOSST. Ambas exibiram a confirmação 'CV enviado!'. A JETSOFT tem stack muito aderente; a MEOSST declara salário oficial de R$ 3.500 e aceita base de programação sem domínio de todas as tecnologias.</x:v>
      </x:c>
      <x:c r="F123" s="29" t="str">
        <x:v>Concluído</x:v>
      </x:c>
      <x:c r="G123" s="30" t="str">
        <x:v>Acompanhar e-mail e Catho. Qualquer avaliação ou entrevista deve ser realizada pessoalmente pelo candidato.</x:v>
      </x:c>
    </x:row>
    <x:row r="124">
      <x:c r="A124" s="61" t="str">
        <x:v>02/10/2026</x:v>
      </x:c>
      <x:c r="B124" s="28" t="str">
        <x:v>Catho</x:v>
      </x:c>
      <x:c r="C124" s="28" t="str">
        <x:v>NOVVAX Tecnologia</x:v>
      </x:c>
      <x:c r="D124" s="28" t="str">
        <x:v>Requisito de tempo pendente</x:v>
      </x:c>
      <x:c r="E124" s="28" t="str">
        <x:v>A vaga híbrida PJ a partir de R$ 3.000 foi revisada. O formulário pergunta se o candidato atende ao mínimo de dois anos de atuação full stack; como esse tempo não foi confirmado nas informações disponíveis, a candidatura não foi enviada nem houve resposta inventada.</x:v>
      </x:c>
      <x:c r="F124" s="29" t="str">
        <x:v>Pendente</x:v>
      </x:c>
      <x:c r="G124" s="30" t="str">
        <x:v>Confirmar a duração comprovável de experiência full stack antes de retomar o envio.</x:v>
      </x:c>
    </x:row>
    <x:row r="125">
      <x:c r="A125" s="61" t="str">
        <x:v>02/10/2026</x:v>
      </x:c>
      <x:c r="B125" s="28" t="str">
        <x:v>Catho</x:v>
      </x:c>
      <x:c r="C125" s="28" t="str">
        <x:v>Interação - Soluções Inteligentes em Educação</x:v>
      </x:c>
      <x:c r="D125" s="28" t="str">
        <x:v>Vaga remota revisada; gaps obrigatórios registrados</x:v>
      </x:c>
      <x:c r="E125" s="28" t="str">
        <x:v>A vaga temporária remota de plataforma web gamificada foi avaliada como interessante para IA aplicada, porém exige Node.js, Drizzle ORM, BullMQ/Redis e pnpm workspaces/monorepo como requisitos obrigatórios. A candidatura não foi enviada e nenhum requisito foi afirmado sem evidência.</x:v>
      </x:c>
      <x:c r="F125" s="29" t="str">
        <x:v>Pendente</x:v>
      </x:c>
      <x:c r="G125" s="30" t="str">
        <x:v>Retomar apenas após ganhar prática verificável nessas ferramentas ou se a empresa flexibilizar os requisitos.</x:v>
      </x:c>
    </x:row>
    <x:row r="126">
      <x:c r="A126" s="61" t="str">
        <x:v>02/10/2026</x:v>
      </x:c>
      <x:c r="B126" s="28" t="str">
        <x:v>Gupy</x:v>
      </x:c>
      <x:c r="C126" s="28" t="str">
        <x:v>Neohype Digital - Desenvolvedor Full Stack</x:v>
      </x:c>
      <x:c r="D126" s="28" t="str">
        <x:v>Formulário interrompido por requisitos obrigatórios</x:v>
      </x:c>
      <x:c r="E126" s="28" t="str">
        <x:v>A vaga híbrida foi revisada por ter boa aderência em .NET, React, PostgreSQL, APIs, testes e cloud. Porém, as respostas obrigatórias exigem no mínimo um a dois anos de uso profissional em C#/.NET, React/Angular, SQL Server e RabbitMQ/Hangfire, sem opção para experiência inferior ou inexistente. Nenhuma informação foi inventada e a candidatura não foi enviada.</x:v>
      </x:c>
      <x:c r="F126" s="29" t="str">
        <x:v>Pendente</x:v>
      </x:c>
      <x:c r="G126" s="30" t="str">
        <x:v>Retomar somente se houver experiência verificável nos requisitos ou se a empresa disponibilizar alternativa de resposta.</x:v>
      </x:c>
    </x:row>
    <x:row r="127">
      <x:c r="A127" s="61" t="str">
        <x:v>02/10/2026</x:v>
      </x:c>
      <x:c r="B127" s="28" t="str">
        <x:v>Gupy</x:v>
      </x:c>
      <x:c r="C127" s="28" t="str">
        <x:v>Tokio Marine - Analista de Dados Júnior</x:v>
      </x:c>
      <x:c r="D127" s="28" t="str">
        <x:v>Vaga revalidada como encerrada</x:v>
      </x:c>
      <x:c r="E127" s="28" t="str">
        <x:v>O anúncio oficial de São Paulo híbrido foi aberto para conferência e informava candidaturas encerradas. Nenhuma candidatura foi iniciada. A vaga foi mantida no histórico apenas para registrar a revalidação e orientar monitoramento de oportunidades semelhantes.</x:v>
      </x:c>
      <x:c r="F127" s="29" t="str">
        <x:v>Concluído</x:v>
      </x:c>
      <x:c r="G127" s="30" t="str">
        <x:v>Monitorar novas publicações de dados, ETL e analytics da Tokio Marine.</x:v>
      </x:c>
    </x:row>
    <x:row r="128">
      <x:c r="A128" s="61" t="str">
        <x:v>02/10/2026</x:v>
      </x:c>
      <x:c r="B128" s="28" t="str">
        <x:v>Pandapé / InfoJobs</x:v>
      </x:c>
      <x:c r="C128" s="28" t="str">
        <x:v>SCS Saneamento - Desenvolvedor Full Stack Júnior</x:v>
      </x:c>
      <x:c r="D128" s="28" t="str">
        <x:v>Duplicidade confirmada</x:v>
      </x:c>
      <x:c r="E128" s="28" t="str">
        <x:v>A vaga presencial PJ da Berrini foi revalidada, com salário divulgado de R$ 6.000 a R$ 6.500. Ao informar o e-mail, o Pandapé confirmou que o candidato já participa do processo seletivo; nenhuma candidatura duplicada foi enviada.</x:v>
      </x:c>
      <x:c r="F128" s="29" t="str">
        <x:v>Concluído</x:v>
      </x:c>
      <x:c r="G128" s="30" t="str">
        <x:v>Acompanhar atualizações no e-mail. Kotlin é o principal ponto técnico a aprofundar para a vaga.</x:v>
      </x:c>
    </x:row>
    <x:row r="129">
      <x:c r="A129" s="61" t="str">
        <x:v>02/10/2026</x:v>
      </x:c>
      <x:c r="B129" s="28" t="str">
        <x:v>Indeed</x:v>
      </x:c>
      <x:c r="C129" s="28" t="str">
        <x:v>Black Lion, MOST Specialist Technologies e Juriscont / New Legal</x:v>
      </x:c>
      <x:c r="D129" s="28" t="str">
        <x:v>Três oportunidades com piso salarial revalidado por pesquisa</x:v>
      </x:c>
      <x:c r="E129" s="28" t="str">
        <x:v>Foram priorizadas uma vaga fintech híbrida de full stack júnior por R$ 3.000, uma oportunidade remota de hiperautomação/Python por R$ 4.000 e uma vaga CLT de full stack na Berrini por R$ 4.000 a R$ 5.500. A abertura pelo Indeed nesta sessão levou à tela de verificação Cloudflare; nenhuma automação de proteção foi tentada e nenhuma candidatura foi enviada.</x:v>
      </x:c>
      <x:c r="F129" s="29" t="str">
        <x:v>Pendente</x:v>
      </x:c>
      <x:c r="G129" s="30" t="str">
        <x:v>Retomar via rota oficial, alertas de e-mail ou acesso humano ao Indeed; qualquer desafio técnico posterior deve ser feito pessoalmente pelo candidato.</x:v>
      </x:c>
    </x:row>
    <x:row r="130">
      <x:c r="A130" s="61" t="str">
        <x:v>02/10/2026</x:v>
      </x:c>
      <x:c r="B130" s="28" t="str">
        <x:v>Recrut.AI / Datum</x:v>
      </x:c>
      <x:c r="C130" s="28" t="str">
        <x:v>Pessoa Desenvolvedora Java Júnior (NextGen)</x:v>
      </x:c>
      <x:c r="D130" s="28" t="str">
        <x:v>Vaga revalidada; formulário preparado</x:v>
      </x:c>
      <x:c r="E130" s="28" t="str">
        <x:v>A vaga híbrida na Zona Sul está ativa e aceita pessoa em início de carreira com conhecimento em Java; experiência de um ano é desejável, não obrigatória. O formulário exige currículo por upload local e CEP real, por isso não foi enviado sem esses itens.</x:v>
      </x:c>
      <x:c r="F130" s="29" t="str">
        <x:v>Pendente</x:v>
      </x:c>
      <x:c r="G130" s="30" t="str">
        <x:v>Anexar o currículo mestre e preencher o CEP no formulário aberto antes de enviar.</x:v>
      </x:c>
    </x:row>
    <x:row r="131">
      <x:c r="A131" s="61" t="str">
        <x:v>02/10/2026</x:v>
      </x:c>
      <x:c r="B131" s="28" t="str">
        <x:v>MOST Specialist Technologies</x:v>
      </x:c>
      <x:c r="C131" s="28" t="str">
        <x:v>Full Stack Developer (Python) - Hiperautomação</x:v>
      </x:c>
      <x:c r="D131" s="28" t="str">
        <x:v>Formulário oficial revisado</x:v>
      </x:c>
      <x:c r="E131" s="28" t="str">
        <x:v>A rota oficial confirmou home office e estágio de seis horas com bolsa de R$ 4.000. O formulário exige upload do currículo e uma matriz obrigatória que força escolha de nível para Django, multithread e MongoDB, sem alternativa para ausência de experiência. A candidatura não foi enviada para não declarar vivência inexistente.</x:v>
      </x:c>
      <x:c r="F131" s="29" t="str">
        <x:v>Pendente</x:v>
      </x:c>
      <x:c r="G131" s="30" t="str">
        <x:v>Retomar somente se o formulário permitir respostas factuais ou se houver experiência verificável nos itens exigidos. Qualquer desafio técnico e avaliação psicológica devem ser realizados pessoalmente.</x:v>
      </x:c>
    </x:row>
    <x:row r="132">
      <x:c r="A132" s="61" t="str">
        <x:v>03/10/2026</x:v>
      </x:c>
      <x:c r="B132" s="28" t="str">
        <x:v>Bancos e fintechs</x:v>
      </x:c>
      <x:c r="C132" s="28" t="str">
        <x:v>C6 Bank, Stone e iFood</x:v>
      </x:c>
      <x:c r="D132" s="28" t="str">
        <x:v>Quatro confirmações revalidadas</x:v>
      </x:c>
      <x:c r="E132" s="28" t="str">
        <x:v>Foram confirmadas candidaturas para C6 Monitoração Python, C6 Sustentação RPA, Stone Software Engineer C# remoto e iFood Analista de Negócios Pleno. As trilhas combinam desenvolvimento, automação, dados e contexto B2B sem enquadrar o candidato em funções puramente comerciais.</x:v>
      </x:c>
      <x:c r="F132" s="29" t="str">
        <x:v>Concluído</x:v>
      </x:c>
      <x:c r="G132" s="30" t="str">
        <x:v>Acompanhar e-mail e portais. Qualquer avaliação comportamental, técnica, vídeo ou áudio deve ser feita pessoalmente pelo candidato.</x:v>
      </x:c>
    </x:row>
    <x:row r="133">
      <x:c r="A133" s="61" t="str">
        <x:v>03/10/2026</x:v>
      </x:c>
      <x:c r="B133" s="28" t="str">
        <x:v>Banco Daycoval / Gupy</x:v>
      </x:c>
      <x:c r="C133" s="28" t="str">
        <x:v>Analista Operacional Júnior — Crédito Consignado</x:v>
      </x:c>
      <x:c r="D133" s="28" t="str">
        <x:v>Candidatura personalizada finalizada</x:v>
      </x:c>
      <x:c r="E133" s="28" t="str">
        <x:v>Foi enviada candidatura para a vaga presencial na Paulista. A apresentação combinou experiência B2B, desenvolvimento full stack, Python, SQL, APIs, automação e Excel avançado, deixando explícito que a experiência bancária e em crédito consignado será aprofundada na função. A pretensão informada foi R$ 5.000 CLT, negociável.</x:v>
      </x:c>
      <x:c r="F133" s="29" t="str">
        <x:v>Concluído</x:v>
      </x:c>
      <x:c r="G133" s="30" t="str">
        <x:v>Acompanhar e-mail e Gupy. Qualquer avaliação comportamental, técnica, vídeo ou áudio deve ser feita pessoalmente pelo candidato.</x:v>
      </x:c>
    </x:row>
  </x:sheetData>
  <x:conditionalFormatting sqref="F6:F59">
    <x:cfRule type="containsText" dxfId="10" priority="1" operator="containsText" text="Concluído"/>
    <x:cfRule type="containsText" dxfId="11" priority="2" operator="containsText" text="Aprovada"/>
    <x:cfRule type="containsText" dxfId="12" priority="3" operator="containsText" text="Pendente"/>
    <x:cfRule type="containsText" dxfId="13" priority="4" operator="containsText" text="Bloqueado"/>
    <x:cfRule type="containsText" dxfId="14" priority="5" operator="containsText" text="Excluído"/>
    <x:cfRule type="containsText" dxfId="15" priority="6" operator="containsText" text="Encerrado"/>
  </x:conditionalFormatting>
  <x:pageMargins left="0.7" right="0.7" top="0.75" bottom="0.75" header="0.3" footer="0.3"/>
  <x:tableParts count="1">
    <x:tablePart xmlns:r="http://schemas.openxmlformats.org/officeDocument/2006/relationships" r:id="R90a88267d8be47d3"/>
  </x:tableParts>
</x:worksheet>
</file>